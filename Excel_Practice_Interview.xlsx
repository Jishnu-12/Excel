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k977\OneDrive\Desktop\Excel Study\"/>
    </mc:Choice>
  </mc:AlternateContent>
  <xr:revisionPtr revIDLastSave="0" documentId="13_ncr:1_{7F27D686-9532-44A2-95A1-C43F172ABD35}" xr6:coauthVersionLast="36" xr6:coauthVersionMax="36" xr10:uidLastSave="{00000000-0000-0000-0000-000000000000}"/>
  <bookViews>
    <workbookView xWindow="0" yWindow="0" windowWidth="24000" windowHeight="9525" activeTab="1" xr2:uid="{00000000-000D-0000-FFFF-FFFF00000000}"/>
  </bookViews>
  <sheets>
    <sheet name="Sheet3" sheetId="3" r:id="rId1"/>
    <sheet name="Sheet2" sheetId="2" r:id="rId2"/>
  </sheets>
  <definedNames>
    <definedName name="_xlnm._FilterDatabase" localSheetId="1" hidden="1">Sheet2!$A$1:$J$11</definedName>
    <definedName name="_xlnm.Criteria" localSheetId="1">Sheet2!$A$16:$J$17</definedName>
    <definedName name="_xlnm.Extract" localSheetId="1">Sheet2!$M$31:$V$31</definedName>
  </definedNames>
  <calcPr calcId="191029"/>
  <pivotCaches>
    <pivotCache cacheId="5" r:id="rId3"/>
    <pivotCache cacheId="8" r:id="rId4"/>
  </pivotCaches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</calcChain>
</file>

<file path=xl/sharedStrings.xml><?xml version="1.0" encoding="utf-8"?>
<sst xmlns="http://schemas.openxmlformats.org/spreadsheetml/2006/main" count="249" uniqueCount="47">
  <si>
    <t>Employee_ID</t>
  </si>
  <si>
    <t>Name</t>
  </si>
  <si>
    <t>Department</t>
  </si>
  <si>
    <t>Joining_Date</t>
  </si>
  <si>
    <t>Salary</t>
  </si>
  <si>
    <t>Bonus %</t>
  </si>
  <si>
    <t>Total_Sales</t>
  </si>
  <si>
    <t>Rating</t>
  </si>
  <si>
    <t>Location</t>
  </si>
  <si>
    <t>Age</t>
  </si>
  <si>
    <t>John Smith</t>
  </si>
  <si>
    <t>Emma Johnson</t>
  </si>
  <si>
    <t>Michael Lee</t>
  </si>
  <si>
    <t>Sarah Davis</t>
  </si>
  <si>
    <t>David Brown</t>
  </si>
  <si>
    <t>Linda Wilson</t>
  </si>
  <si>
    <t>James Taylor</t>
  </si>
  <si>
    <t>Karen White</t>
  </si>
  <si>
    <t>Robert Hall</t>
  </si>
  <si>
    <t>Patricia King</t>
  </si>
  <si>
    <t>Sales</t>
  </si>
  <si>
    <t>Marketing</t>
  </si>
  <si>
    <t>IT</t>
  </si>
  <si>
    <t>HR</t>
  </si>
  <si>
    <t>2020-03-15</t>
  </si>
  <si>
    <t>2019-07-22</t>
  </si>
  <si>
    <t>2021-01-10</t>
  </si>
  <si>
    <t>2018-11-05</t>
  </si>
  <si>
    <t>2020-06-30</t>
  </si>
  <si>
    <t>2019-09-12</t>
  </si>
  <si>
    <t>2021-02-20</t>
  </si>
  <si>
    <t>2018-12-18</t>
  </si>
  <si>
    <t>2020-04-05</t>
  </si>
  <si>
    <t>2019-08-25</t>
  </si>
  <si>
    <t>A</t>
  </si>
  <si>
    <t>B</t>
  </si>
  <si>
    <t>C</t>
  </si>
  <si>
    <t>New York</t>
  </si>
  <si>
    <t>Los Angeles</t>
  </si>
  <si>
    <t>Chicago</t>
  </si>
  <si>
    <t>&gt;=200000</t>
  </si>
  <si>
    <t>Row Labels</t>
  </si>
  <si>
    <t>Grand Total</t>
  </si>
  <si>
    <t>Sum of Total_Sales</t>
  </si>
  <si>
    <t>Average of Total_Sales</t>
  </si>
  <si>
    <t>Count of Employe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</si>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</sst>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5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center" vertical="top"/>
    </xf>
    <xf numFmtId="0" fontId="1" fillId="0" borderId="7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7"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[Excel_Practice_Interview.xlsx]Sheet2!PivotTable3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Sheet2!$N$15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Sheet2!$M$16:$M$19</c:f>
              <c:strCache>
                <c:ptCount val="3"/>
                <c:pt idx="0">
                  <c:v>David Brown</c:v>
                </c:pt>
                <c:pt idx="1">
                  <c:v>James Taylor</c:v>
                </c:pt>
                <c:pt idx="2">
                  <c:v>Michael Lee</c:v>
                </c:pt>
              </c:strCache>
            </c:strRef>
          </c:cat>
          <c:val>
            <c:numRef>
              <c:f>Sheet2!$N$16:$N$19</c:f>
              <c:numCache>
                <c:formatCode>General</c:formatCode>
                <c:ptCount val="3"/>
                <c:pt idx="0">
                  <c:v>220000</c:v>
                </c:pt>
                <c:pt idx="1">
                  <c:v>270000</c:v>
                </c:pt>
                <c:pt idx="2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22-4AD5-8A4E-A25CB3E3563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91377376"/>
        <c:axId val="302132240"/>
      </c:barChart>
      <c:catAx>
        <c:axId val="291377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132240"/>
        <c:crosses val="autoZero"/>
        <c:auto val="1"/>
        <c:lblAlgn val="ctr"/>
        <c:lblOffset val="100"/>
        <c:noMultiLvlLbl val="0"/>
      </c:catAx>
      <c:valAx>
        <c:axId val="302132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7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214311</xdr:colOff>
      <xdr:row>35</xdr:row>
      <xdr:rowOff>28575</xdr:rowOff>
    </xdr:from>
    <xdr:to>
      <xdr:col>12</xdr:col>
      <xdr:colOff>838200</xdr:colOff>
      <xdr:row>50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B92B4-2D8D-4594-9DFB-7E42B5597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nu K" refreshedDate="46051.100380902775" createdVersion="6" refreshedVersion="6" minRefreshableVersion="3" recordCount="10" xr:uid="{B6959669-4C11-4CE5-BCC7-9ACE48E80D03}">
  <cacheSource type="worksheet">
    <worksheetSource ref="A1:J11" sheet="Sheet2"/>
  </cacheSource>
  <cacheFields count="10">
    <cacheField name="Employee_ID" numFmtId="0">
      <sharedItems containsSemiMixedTypes="0" containsString="0" containsNumber="1" containsInteger="1" minValue="101" maxValue="110" count="10">
        <n v="101"/>
        <n v="102"/>
        <n v="103"/>
        <n v="104"/>
        <n v="105"/>
        <n v="106"/>
        <n v="107"/>
        <n v="108"/>
        <n v="109"/>
        <n v="110"/>
      </sharedItems>
    </cacheField>
    <cacheField name="Name" numFmtId="0">
      <sharedItems count="10">
        <s v="John Smith"/>
        <s v="Emma Johnson"/>
        <s v="Michael Lee"/>
        <s v="Sarah Davis"/>
        <s v="David Brown"/>
        <s v="Linda Wilson"/>
        <s v="James Taylor"/>
        <s v="Karen White"/>
        <s v="Robert Hall"/>
        <s v="Patricia King"/>
      </sharedItems>
    </cacheField>
    <cacheField name="Department" numFmtId="0">
      <sharedItems count="4">
        <s v="Sales"/>
        <s v="Marketing"/>
        <s v="IT"/>
        <s v="HR"/>
      </sharedItems>
    </cacheField>
    <cacheField name="Joining_Date" numFmtId="0">
      <sharedItems/>
    </cacheField>
    <cacheField name="Salary" numFmtId="0">
      <sharedItems containsSemiMixedTypes="0" containsString="0" containsNumber="1" containsInteger="1" minValue="50000" maxValue="78000"/>
    </cacheField>
    <cacheField name="Bonus %" numFmtId="0">
      <sharedItems containsSemiMixedTypes="0" containsString="0" containsNumber="1" containsInteger="1" minValue="8" maxValue="15"/>
    </cacheField>
    <cacheField name="Total_Sales" numFmtId="0">
      <sharedItems containsSemiMixedTypes="0" containsString="0" containsNumber="1" containsInteger="1" minValue="100000" maxValue="270000"/>
    </cacheField>
    <cacheField name="Rating" numFmtId="0">
      <sharedItems/>
    </cacheField>
    <cacheField name="Location" numFmtId="0">
      <sharedItems/>
    </cacheField>
    <cacheField name="Age" numFmtId="0">
      <sharedItems containsSemiMixedTypes="0" containsString="0" containsNumber="1" containsInteger="1" minValue="26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nu K" refreshedDate="46051.113599884258" createdVersion="6" refreshedVersion="6" minRefreshableVersion="3" recordCount="10" xr:uid="{6E4E5AFC-0F9E-44E6-B221-A3342C47D347}">
  <cacheSource type="worksheet">
    <worksheetSource ref="A1:K11" sheet="Sheet2"/>
  </cacheSource>
  <cacheFields count="11">
    <cacheField name="Employee_ID" numFmtId="0">
      <sharedItems containsSemiMixedTypes="0" containsString="0" containsNumber="1" containsInteger="1" minValue="101" maxValue="110"/>
    </cacheField>
    <cacheField name="Name" numFmtId="0">
      <sharedItems count="10">
        <s v="John Smith"/>
        <s v="Emma Johnson"/>
        <s v="Michael Lee"/>
        <s v="Sarah Davis"/>
        <s v="David Brown"/>
        <s v="Linda Wilson"/>
        <s v="James Taylor"/>
        <s v="Karen White"/>
        <s v="Robert Hall"/>
        <s v="Patricia King"/>
      </sharedItems>
    </cacheField>
    <cacheField name="Department" numFmtId="0">
      <sharedItems/>
    </cacheField>
    <cacheField name="Joining_Date" numFmtId="0">
      <sharedItems/>
    </cacheField>
    <cacheField name="Salary" numFmtId="0">
      <sharedItems containsSemiMixedTypes="0" containsString="0" containsNumber="1" containsInteger="1" minValue="50000" maxValue="78000"/>
    </cacheField>
    <cacheField name="Bonus %" numFmtId="0">
      <sharedItems containsSemiMixedTypes="0" containsString="0" containsNumber="1" containsInteger="1" minValue="8" maxValue="15"/>
    </cacheField>
    <cacheField name="Total_Sales" numFmtId="0">
      <sharedItems containsSemiMixedTypes="0" containsString="0" containsNumber="1" containsInteger="1" minValue="100000" maxValue="270000"/>
    </cacheField>
    <cacheField name="Rating" numFmtId="0">
      <sharedItems/>
    </cacheField>
    <cacheField name="Location" numFmtId="0">
      <sharedItems/>
    </cacheField>
    <cacheField name="Age" numFmtId="0">
      <sharedItems containsSemiMixedTypes="0" containsString="0" containsNumber="1" containsInteger="1" minValue="26" maxValue="36"/>
    </cacheField>
    <cacheField name="Ag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s v="2020-03-15"/>
    <n v="50000"/>
    <n v="10"/>
    <n v="200000"/>
    <s v="A"/>
    <s v="New York"/>
    <n v="28"/>
  </r>
  <r>
    <x v="1"/>
    <x v="1"/>
    <x v="1"/>
    <s v="2019-07-22"/>
    <n v="60000"/>
    <n v="12"/>
    <n v="150000"/>
    <s v="B"/>
    <s v="Los Angeles"/>
    <n v="32"/>
  </r>
  <r>
    <x v="2"/>
    <x v="2"/>
    <x v="2"/>
    <s v="2021-01-10"/>
    <n v="75000"/>
    <n v="15"/>
    <n v="250000"/>
    <s v="A"/>
    <s v="Chicago"/>
    <n v="26"/>
  </r>
  <r>
    <x v="3"/>
    <x v="3"/>
    <x v="3"/>
    <s v="2018-11-05"/>
    <n v="55000"/>
    <n v="8"/>
    <n v="100000"/>
    <s v="C"/>
    <s v="New York"/>
    <n v="35"/>
  </r>
  <r>
    <x v="4"/>
    <x v="4"/>
    <x v="0"/>
    <s v="2020-06-30"/>
    <n v="52000"/>
    <n v="10"/>
    <n v="220000"/>
    <s v="B"/>
    <s v="Los Angeles"/>
    <n v="30"/>
  </r>
  <r>
    <x v="5"/>
    <x v="5"/>
    <x v="1"/>
    <s v="2019-09-12"/>
    <n v="61000"/>
    <n v="12"/>
    <n v="160000"/>
    <s v="A"/>
    <s v="Chicago"/>
    <n v="29"/>
  </r>
  <r>
    <x v="6"/>
    <x v="6"/>
    <x v="2"/>
    <s v="2021-02-20"/>
    <n v="78000"/>
    <n v="15"/>
    <n v="270000"/>
    <s v="B"/>
    <s v="New York"/>
    <n v="27"/>
  </r>
  <r>
    <x v="7"/>
    <x v="7"/>
    <x v="3"/>
    <s v="2018-12-18"/>
    <n v="54000"/>
    <n v="8"/>
    <n v="120000"/>
    <s v="C"/>
    <s v="Los Angeles"/>
    <n v="36"/>
  </r>
  <r>
    <x v="8"/>
    <x v="8"/>
    <x v="0"/>
    <s v="2020-04-05"/>
    <n v="51000"/>
    <n v="10"/>
    <n v="210000"/>
    <s v="B"/>
    <s v="Chicago"/>
    <n v="31"/>
  </r>
  <r>
    <x v="9"/>
    <x v="9"/>
    <x v="1"/>
    <s v="2019-08-25"/>
    <n v="62000"/>
    <n v="12"/>
    <n v="155000"/>
    <s v="A"/>
    <s v="New York"/>
    <n v="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x v="0"/>
    <s v="Sales"/>
    <s v="2020-03-15"/>
    <n v="50000"/>
    <n v="10"/>
    <n v="200000"/>
    <s v="A"/>
    <s v="New York"/>
    <n v="28"/>
    <s v="Young"/>
  </r>
  <r>
    <n v="102"/>
    <x v="1"/>
    <s v="Marketing"/>
    <s v="2019-07-22"/>
    <n v="60000"/>
    <n v="12"/>
    <n v="150000"/>
    <s v="B"/>
    <s v="Los Angeles"/>
    <n v="32"/>
    <s v="Mid"/>
  </r>
  <r>
    <n v="103"/>
    <x v="2"/>
    <s v="IT"/>
    <s v="2021-01-10"/>
    <n v="75000"/>
    <n v="15"/>
    <n v="250000"/>
    <s v="A"/>
    <s v="Chicago"/>
    <n v="26"/>
    <s v="Young"/>
  </r>
  <r>
    <n v="104"/>
    <x v="3"/>
    <s v="HR"/>
    <s v="2018-11-05"/>
    <n v="55000"/>
    <n v="8"/>
    <n v="100000"/>
    <s v="C"/>
    <s v="New York"/>
    <n v="35"/>
    <s v="Mid"/>
  </r>
  <r>
    <n v="105"/>
    <x v="4"/>
    <s v="Sales"/>
    <s v="2020-06-30"/>
    <n v="52000"/>
    <n v="10"/>
    <n v="220000"/>
    <s v="B"/>
    <s v="Los Angeles"/>
    <n v="30"/>
    <s v="Mid"/>
  </r>
  <r>
    <n v="106"/>
    <x v="5"/>
    <s v="Marketing"/>
    <s v="2019-09-12"/>
    <n v="61000"/>
    <n v="12"/>
    <n v="160000"/>
    <s v="A"/>
    <s v="Chicago"/>
    <n v="29"/>
    <s v="Young"/>
  </r>
  <r>
    <n v="107"/>
    <x v="6"/>
    <s v="IT"/>
    <s v="2021-02-20"/>
    <n v="78000"/>
    <n v="15"/>
    <n v="270000"/>
    <s v="B"/>
    <s v="New York"/>
    <n v="27"/>
    <s v="Young"/>
  </r>
  <r>
    <n v="108"/>
    <x v="7"/>
    <s v="HR"/>
    <s v="2018-12-18"/>
    <n v="54000"/>
    <n v="8"/>
    <n v="120000"/>
    <s v="C"/>
    <s v="Los Angeles"/>
    <n v="36"/>
    <s v="senior"/>
  </r>
  <r>
    <n v="109"/>
    <x v="8"/>
    <s v="Sales"/>
    <s v="2020-04-05"/>
    <n v="51000"/>
    <n v="10"/>
    <n v="210000"/>
    <s v="B"/>
    <s v="Chicago"/>
    <n v="31"/>
    <s v="Mid"/>
  </r>
  <r>
    <n v="110"/>
    <x v="9"/>
    <s v="Marketing"/>
    <s v="2019-08-25"/>
    <n v="62000"/>
    <n v="12"/>
    <n v="155000"/>
    <s v="A"/>
    <s v="New York"/>
    <n v="28"/>
    <s v="You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A4B7C-0195-4AEF-BFD8-A724EA9D0323}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M15:N19" firstHeaderRow="1" firstDataRow="1" firstDataCol="1"/>
  <pivotFields count="11">
    <pivotField showAll="0"/>
    <pivotField axis="axisRow" showAll="0" measureFilter="1">
      <items count="11">
        <item x="4"/>
        <item x="1"/>
        <item x="6"/>
        <item x="0"/>
        <item x="7"/>
        <item x="5"/>
        <item x="2"/>
        <item x="9"/>
        <item x="8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2"/>
    </i>
    <i>
      <x v="6"/>
    </i>
    <i t="grand">
      <x/>
    </i>
  </rowItems>
  <colItems count="1">
    <i/>
  </colItems>
  <dataFields count="1">
    <dataField name="Sum of Total_Sales" fld="6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194D7-4E8E-4DCC-B80E-48B22C0196BC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2:O7" firstHeaderRow="0" firstDataRow="1" firstDataCol="1"/>
  <pivotFields count="10">
    <pivotField showAll="0" countASubtotal="1">
      <items count="11">
        <item x="0"/>
        <item x="1"/>
        <item x="2"/>
        <item x="3"/>
        <item x="4"/>
        <item x="5"/>
        <item x="6"/>
        <item x="7"/>
        <item x="8"/>
        <item x="9"/>
        <item t="countA"/>
      </items>
    </pivotField>
    <pivotField dataField="1" showAll="0" countASubtotal="1">
      <items count="11">
        <item x="4"/>
        <item x="1"/>
        <item x="6"/>
        <item x="0"/>
        <item x="7"/>
        <item x="5"/>
        <item x="2"/>
        <item x="9"/>
        <item x="8"/>
        <item x="3"/>
        <item t="countA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_Sales" fld="6" subtotal="average" baseField="2" baseItem="0"/>
    <dataField name="Count of Employe" fld="1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C3F337-8C52-4F16-90E5-04E5BB30CE83}" name="Table1" displayName="Table1" ref="A1:J11" totalsRowShown="0" headerRowDxfId="2" dataDxfId="3" headerRowBorderDxfId="15" tableBorderDxfId="16" totalsRowBorderDxfId="14">
  <autoFilter ref="A1:J11" xr:uid="{CB1C08F4-30F6-4F14-882E-3D618D1567CD}"/>
  <tableColumns count="10">
    <tableColumn id="1" xr3:uid="{F930670B-C28E-4BEA-A6C4-ACB88922B6DC}" name="Employee_ID" dataDxfId="13"/>
    <tableColumn id="2" xr3:uid="{AEEFC81E-9847-4278-A1F3-1B1C3DBA9693}" name="Name" dataDxfId="12"/>
    <tableColumn id="3" xr3:uid="{E26B434D-32C4-45AB-AE99-FF5A7C18E320}" name="Department" dataDxfId="11"/>
    <tableColumn id="4" xr3:uid="{743F6BAF-A7EC-46A6-8A95-E641D851DBEC}" name="Joining_Date" dataDxfId="10"/>
    <tableColumn id="5" xr3:uid="{B456EBDC-1D68-4C54-B9F6-DCA80C85FE2F}" name="Salary" dataDxfId="9"/>
    <tableColumn id="6" xr3:uid="{949D6837-4F07-4F1E-A79B-BE20468B9699}" name="Bonus %" dataDxfId="8"/>
    <tableColumn id="7" xr3:uid="{F62CE530-72DD-4336-B27D-D408D30C8454}" name="Total_Sales" dataDxfId="7"/>
    <tableColumn id="8" xr3:uid="{06389E6A-1C17-4EAC-912C-9B066472F858}" name="Rating" dataDxfId="6"/>
    <tableColumn id="9" xr3:uid="{40D4C213-91BF-48CE-BFAB-5F3611E58A73}" name="Location" dataDxfId="5"/>
    <tableColumn id="10" xr3:uid="{CF9F535A-46E4-4AB9-B755-3FCACDF06457}" name="Age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D99B-99C0-4A02-A6BF-20B4E8D0D46A}">
  <sheetPr codeName="Sheet3"/>
  <dimension ref="A1:J11"/>
  <sheetViews>
    <sheetView workbookViewId="0">
      <selection activeCell="K14" sqref="K14"/>
    </sheetView>
  </sheetViews>
  <sheetFormatPr defaultRowHeight="15" x14ac:dyDescent="0.25"/>
  <cols>
    <col min="1" max="1" width="17.28515625" bestFit="1" customWidth="1"/>
    <col min="2" max="2" width="14.28515625" bestFit="1" customWidth="1"/>
    <col min="3" max="3" width="16.28515625" bestFit="1" customWidth="1"/>
    <col min="4" max="4" width="17" bestFit="1" customWidth="1"/>
    <col min="5" max="5" width="10.85546875" bestFit="1" customWidth="1"/>
    <col min="6" max="6" width="13" bestFit="1" customWidth="1"/>
    <col min="7" max="7" width="15.5703125" bestFit="1" customWidth="1"/>
    <col min="8" max="8" width="11.140625" bestFit="1" customWidth="1"/>
    <col min="9" max="9" width="13" bestFit="1" customWidth="1"/>
    <col min="10" max="10" width="9" bestFit="1" customWidth="1"/>
  </cols>
  <sheetData>
    <row r="1" spans="1:10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</row>
    <row r="2" spans="1:10" x14ac:dyDescent="0.25">
      <c r="A2" s="8">
        <v>101</v>
      </c>
      <c r="B2" s="2" t="s">
        <v>10</v>
      </c>
      <c r="C2" s="2" t="s">
        <v>20</v>
      </c>
      <c r="D2" s="2" t="s">
        <v>24</v>
      </c>
      <c r="E2" s="2">
        <v>50000</v>
      </c>
      <c r="F2" s="2">
        <v>10</v>
      </c>
      <c r="G2" s="2">
        <v>200000</v>
      </c>
      <c r="H2" s="2" t="s">
        <v>34</v>
      </c>
      <c r="I2" s="2" t="s">
        <v>37</v>
      </c>
      <c r="J2" s="9">
        <v>28</v>
      </c>
    </row>
    <row r="3" spans="1:10" x14ac:dyDescent="0.25">
      <c r="A3" s="8">
        <v>102</v>
      </c>
      <c r="B3" s="2" t="s">
        <v>11</v>
      </c>
      <c r="C3" s="2" t="s">
        <v>21</v>
      </c>
      <c r="D3" s="2" t="s">
        <v>25</v>
      </c>
      <c r="E3" s="2">
        <v>60000</v>
      </c>
      <c r="F3" s="2">
        <v>12</v>
      </c>
      <c r="G3" s="2">
        <v>150000</v>
      </c>
      <c r="H3" s="2" t="s">
        <v>35</v>
      </c>
      <c r="I3" s="2" t="s">
        <v>38</v>
      </c>
      <c r="J3" s="9">
        <v>32</v>
      </c>
    </row>
    <row r="4" spans="1:10" x14ac:dyDescent="0.25">
      <c r="A4" s="8">
        <v>103</v>
      </c>
      <c r="B4" s="2" t="s">
        <v>12</v>
      </c>
      <c r="C4" s="2" t="s">
        <v>22</v>
      </c>
      <c r="D4" s="2" t="s">
        <v>26</v>
      </c>
      <c r="E4" s="2">
        <v>75000</v>
      </c>
      <c r="F4" s="2">
        <v>15</v>
      </c>
      <c r="G4" s="2">
        <v>250000</v>
      </c>
      <c r="H4" s="2" t="s">
        <v>34</v>
      </c>
      <c r="I4" s="2" t="s">
        <v>39</v>
      </c>
      <c r="J4" s="9">
        <v>26</v>
      </c>
    </row>
    <row r="5" spans="1:10" x14ac:dyDescent="0.25">
      <c r="A5" s="8">
        <v>104</v>
      </c>
      <c r="B5" s="2" t="s">
        <v>13</v>
      </c>
      <c r="C5" s="2" t="s">
        <v>23</v>
      </c>
      <c r="D5" s="2" t="s">
        <v>27</v>
      </c>
      <c r="E5" s="2">
        <v>55000</v>
      </c>
      <c r="F5" s="2">
        <v>8</v>
      </c>
      <c r="G5" s="2">
        <v>100000</v>
      </c>
      <c r="H5" s="2" t="s">
        <v>36</v>
      </c>
      <c r="I5" s="2" t="s">
        <v>37</v>
      </c>
      <c r="J5" s="9">
        <v>35</v>
      </c>
    </row>
    <row r="6" spans="1:10" x14ac:dyDescent="0.25">
      <c r="A6" s="8">
        <v>105</v>
      </c>
      <c r="B6" s="2" t="s">
        <v>14</v>
      </c>
      <c r="C6" s="2" t="s">
        <v>20</v>
      </c>
      <c r="D6" s="2" t="s">
        <v>28</v>
      </c>
      <c r="E6" s="2">
        <v>52000</v>
      </c>
      <c r="F6" s="2">
        <v>10</v>
      </c>
      <c r="G6" s="2">
        <v>220000</v>
      </c>
      <c r="H6" s="2" t="s">
        <v>35</v>
      </c>
      <c r="I6" s="2" t="s">
        <v>38</v>
      </c>
      <c r="J6" s="9">
        <v>30</v>
      </c>
    </row>
    <row r="7" spans="1:10" x14ac:dyDescent="0.25">
      <c r="A7" s="8">
        <v>106</v>
      </c>
      <c r="B7" s="2" t="s">
        <v>15</v>
      </c>
      <c r="C7" s="2" t="s">
        <v>21</v>
      </c>
      <c r="D7" s="2" t="s">
        <v>29</v>
      </c>
      <c r="E7" s="2">
        <v>61000</v>
      </c>
      <c r="F7" s="2">
        <v>12</v>
      </c>
      <c r="G7" s="2">
        <v>160000</v>
      </c>
      <c r="H7" s="2" t="s">
        <v>34</v>
      </c>
      <c r="I7" s="2" t="s">
        <v>39</v>
      </c>
      <c r="J7" s="9">
        <v>29</v>
      </c>
    </row>
    <row r="8" spans="1:10" x14ac:dyDescent="0.25">
      <c r="A8" s="8">
        <v>107</v>
      </c>
      <c r="B8" s="2" t="s">
        <v>16</v>
      </c>
      <c r="C8" s="2" t="s">
        <v>22</v>
      </c>
      <c r="D8" s="2" t="s">
        <v>30</v>
      </c>
      <c r="E8" s="2">
        <v>78000</v>
      </c>
      <c r="F8" s="2">
        <v>15</v>
      </c>
      <c r="G8" s="2">
        <v>270000</v>
      </c>
      <c r="H8" s="2" t="s">
        <v>35</v>
      </c>
      <c r="I8" s="2" t="s">
        <v>37</v>
      </c>
      <c r="J8" s="9">
        <v>27</v>
      </c>
    </row>
    <row r="9" spans="1:10" x14ac:dyDescent="0.25">
      <c r="A9" s="8">
        <v>108</v>
      </c>
      <c r="B9" s="2" t="s">
        <v>17</v>
      </c>
      <c r="C9" s="2" t="s">
        <v>23</v>
      </c>
      <c r="D9" s="2" t="s">
        <v>31</v>
      </c>
      <c r="E9" s="2">
        <v>54000</v>
      </c>
      <c r="F9" s="2">
        <v>8</v>
      </c>
      <c r="G9" s="2">
        <v>120000</v>
      </c>
      <c r="H9" s="2" t="s">
        <v>36</v>
      </c>
      <c r="I9" s="2" t="s">
        <v>38</v>
      </c>
      <c r="J9" s="9">
        <v>36</v>
      </c>
    </row>
    <row r="10" spans="1:10" x14ac:dyDescent="0.25">
      <c r="A10" s="8">
        <v>109</v>
      </c>
      <c r="B10" s="2" t="s">
        <v>18</v>
      </c>
      <c r="C10" s="2" t="s">
        <v>20</v>
      </c>
      <c r="D10" s="2" t="s">
        <v>32</v>
      </c>
      <c r="E10" s="2">
        <v>51000</v>
      </c>
      <c r="F10" s="2">
        <v>10</v>
      </c>
      <c r="G10" s="2">
        <v>210000</v>
      </c>
      <c r="H10" s="2" t="s">
        <v>35</v>
      </c>
      <c r="I10" s="2" t="s">
        <v>39</v>
      </c>
      <c r="J10" s="9">
        <v>31</v>
      </c>
    </row>
    <row r="11" spans="1:10" x14ac:dyDescent="0.25">
      <c r="A11" s="10">
        <v>110</v>
      </c>
      <c r="B11" s="11" t="s">
        <v>19</v>
      </c>
      <c r="C11" s="11" t="s">
        <v>21</v>
      </c>
      <c r="D11" s="11" t="s">
        <v>33</v>
      </c>
      <c r="E11" s="11">
        <v>62000</v>
      </c>
      <c r="F11" s="11">
        <v>12</v>
      </c>
      <c r="G11" s="11">
        <v>155000</v>
      </c>
      <c r="H11" s="11" t="s">
        <v>34</v>
      </c>
      <c r="I11" s="11" t="s">
        <v>37</v>
      </c>
      <c r="J11" s="12">
        <v>28</v>
      </c>
    </row>
  </sheetData>
  <conditionalFormatting sqref="A2:J11">
    <cfRule type="expression" dxfId="1" priority="1">
      <formula>AND($G2&gt;=200000,$H2="A")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CC0E-232B-40D2-9B55-EE725D912960}">
  <sheetPr codeName="Sheet2"/>
  <dimension ref="A1:X38"/>
  <sheetViews>
    <sheetView tabSelected="1" zoomScaleNormal="100" workbookViewId="0">
      <selection activeCell="N52" sqref="N52"/>
    </sheetView>
  </sheetViews>
  <sheetFormatPr defaultRowHeight="15" x14ac:dyDescent="0.25"/>
  <cols>
    <col min="1" max="1" width="12.7109375" bestFit="1" customWidth="1"/>
    <col min="2" max="2" width="14.28515625" bestFit="1" customWidth="1"/>
    <col min="3" max="3" width="11.7109375" bestFit="1" customWidth="1"/>
    <col min="4" max="4" width="12.42578125" bestFit="1" customWidth="1"/>
    <col min="5" max="5" width="6.28515625" bestFit="1" customWidth="1"/>
    <col min="6" max="6" width="8.42578125" bestFit="1" customWidth="1"/>
    <col min="7" max="7" width="11" bestFit="1" customWidth="1"/>
    <col min="8" max="8" width="6.5703125" bestFit="1" customWidth="1"/>
    <col min="9" max="9" width="11.42578125" bestFit="1" customWidth="1"/>
    <col min="10" max="10" width="4.42578125" bestFit="1" customWidth="1"/>
    <col min="11" max="11" width="10.5703125" bestFit="1" customWidth="1"/>
    <col min="12" max="12" width="6.28515625" bestFit="1" customWidth="1"/>
    <col min="13" max="13" width="13.140625" bestFit="1" customWidth="1"/>
    <col min="14" max="14" width="21.42578125" bestFit="1" customWidth="1"/>
    <col min="15" max="15" width="16.85546875" bestFit="1" customWidth="1"/>
    <col min="16" max="16" width="12.42578125" bestFit="1" customWidth="1"/>
    <col min="17" max="17" width="6.28515625" bestFit="1" customWidth="1"/>
    <col min="18" max="18" width="8.42578125" bestFit="1" customWidth="1"/>
    <col min="19" max="19" width="11" bestFit="1" customWidth="1"/>
    <col min="20" max="20" width="6.5703125" bestFit="1" customWidth="1"/>
    <col min="21" max="21" width="11.42578125" bestFit="1" customWidth="1"/>
    <col min="22" max="22" width="4.42578125" bestFit="1" customWidth="1"/>
    <col min="23" max="23" width="11.42578125" bestFit="1" customWidth="1"/>
    <col min="24" max="24" width="4.42578125" bestFit="1" customWidth="1"/>
  </cols>
  <sheetData>
    <row r="1" spans="1:2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46</v>
      </c>
    </row>
    <row r="2" spans="1:24" x14ac:dyDescent="0.25">
      <c r="A2" s="2">
        <v>101</v>
      </c>
      <c r="B2" s="2" t="s">
        <v>10</v>
      </c>
      <c r="C2" s="2" t="s">
        <v>20</v>
      </c>
      <c r="D2" s="2" t="s">
        <v>24</v>
      </c>
      <c r="E2" s="2">
        <v>50000</v>
      </c>
      <c r="F2" s="2">
        <v>10</v>
      </c>
      <c r="G2" s="2">
        <v>200000</v>
      </c>
      <c r="H2" s="2" t="s">
        <v>34</v>
      </c>
      <c r="I2" s="2" t="s">
        <v>37</v>
      </c>
      <c r="J2" s="2">
        <v>28</v>
      </c>
      <c r="K2" t="str">
        <f>IF(J2&lt;30,"Young",IF(J2&lt;=35,"Mid",IF(J2&gt;35,"senior")))</f>
        <v>Young</v>
      </c>
      <c r="M2" s="16" t="s">
        <v>41</v>
      </c>
      <c r="N2" t="s">
        <v>44</v>
      </c>
      <c r="O2" t="s">
        <v>45</v>
      </c>
    </row>
    <row r="3" spans="1:24" x14ac:dyDescent="0.25">
      <c r="A3" s="2">
        <v>102</v>
      </c>
      <c r="B3" s="2" t="s">
        <v>11</v>
      </c>
      <c r="C3" s="2" t="s">
        <v>21</v>
      </c>
      <c r="D3" s="2" t="s">
        <v>25</v>
      </c>
      <c r="E3" s="2">
        <v>60000</v>
      </c>
      <c r="F3" s="2">
        <v>12</v>
      </c>
      <c r="G3" s="2">
        <v>150000</v>
      </c>
      <c r="H3" s="2" t="s">
        <v>35</v>
      </c>
      <c r="I3" s="2" t="s">
        <v>38</v>
      </c>
      <c r="J3" s="2">
        <v>32</v>
      </c>
      <c r="K3" t="str">
        <f t="shared" ref="K3:K11" si="0">IF(J3&lt;30,"Young",IF(J3&lt;=35,"Mid",IF(J3&gt;35,"senior")))</f>
        <v>Mid</v>
      </c>
      <c r="M3" s="17" t="s">
        <v>23</v>
      </c>
      <c r="N3" s="18">
        <v>110000</v>
      </c>
      <c r="O3" s="18">
        <v>2</v>
      </c>
    </row>
    <row r="4" spans="1:24" x14ac:dyDescent="0.25">
      <c r="A4" s="2">
        <v>103</v>
      </c>
      <c r="B4" s="2" t="s">
        <v>12</v>
      </c>
      <c r="C4" s="2" t="s">
        <v>22</v>
      </c>
      <c r="D4" s="2" t="s">
        <v>26</v>
      </c>
      <c r="E4" s="2">
        <v>75000</v>
      </c>
      <c r="F4" s="2">
        <v>15</v>
      </c>
      <c r="G4" s="2">
        <v>250000</v>
      </c>
      <c r="H4" s="2" t="s">
        <v>34</v>
      </c>
      <c r="I4" s="2" t="s">
        <v>39</v>
      </c>
      <c r="J4" s="2">
        <v>26</v>
      </c>
      <c r="K4" t="str">
        <f t="shared" si="0"/>
        <v>Young</v>
      </c>
      <c r="M4" s="17" t="s">
        <v>22</v>
      </c>
      <c r="N4" s="18">
        <v>260000</v>
      </c>
      <c r="O4" s="18">
        <v>2</v>
      </c>
    </row>
    <row r="5" spans="1:24" x14ac:dyDescent="0.25">
      <c r="A5" s="2">
        <v>104</v>
      </c>
      <c r="B5" s="2" t="s">
        <v>13</v>
      </c>
      <c r="C5" s="2" t="s">
        <v>23</v>
      </c>
      <c r="D5" s="2" t="s">
        <v>27</v>
      </c>
      <c r="E5" s="2">
        <v>55000</v>
      </c>
      <c r="F5" s="2">
        <v>8</v>
      </c>
      <c r="G5" s="2">
        <v>100000</v>
      </c>
      <c r="H5" s="2" t="s">
        <v>36</v>
      </c>
      <c r="I5" s="2" t="s">
        <v>37</v>
      </c>
      <c r="J5" s="2">
        <v>35</v>
      </c>
      <c r="K5" t="str">
        <f t="shared" si="0"/>
        <v>Mid</v>
      </c>
      <c r="M5" s="17" t="s">
        <v>21</v>
      </c>
      <c r="N5" s="18">
        <v>155000</v>
      </c>
      <c r="O5" s="18">
        <v>3</v>
      </c>
      <c r="P5" s="5"/>
      <c r="Q5" s="5"/>
      <c r="R5" s="5"/>
      <c r="S5" s="5"/>
      <c r="T5" s="5"/>
      <c r="U5" s="5"/>
      <c r="V5" s="5"/>
      <c r="W5" s="5"/>
      <c r="X5" s="6"/>
    </row>
    <row r="6" spans="1:24" x14ac:dyDescent="0.25">
      <c r="A6" s="2">
        <v>105</v>
      </c>
      <c r="B6" s="2" t="s">
        <v>14</v>
      </c>
      <c r="C6" s="2" t="s">
        <v>20</v>
      </c>
      <c r="D6" s="2" t="s">
        <v>28</v>
      </c>
      <c r="E6" s="2">
        <v>52000</v>
      </c>
      <c r="F6" s="2">
        <v>10</v>
      </c>
      <c r="G6" s="2">
        <v>220000</v>
      </c>
      <c r="H6" s="2" t="s">
        <v>35</v>
      </c>
      <c r="I6" s="2" t="s">
        <v>38</v>
      </c>
      <c r="J6" s="2">
        <v>30</v>
      </c>
      <c r="K6" t="str">
        <f t="shared" si="0"/>
        <v>Mid</v>
      </c>
      <c r="M6" s="17" t="s">
        <v>20</v>
      </c>
      <c r="N6" s="18">
        <v>210000</v>
      </c>
      <c r="O6" s="18">
        <v>3</v>
      </c>
      <c r="P6" s="7"/>
      <c r="Q6" s="7"/>
      <c r="R6" s="7"/>
      <c r="S6" s="7"/>
      <c r="T6" s="7"/>
      <c r="U6" s="7"/>
      <c r="V6" s="7"/>
      <c r="W6" s="7"/>
      <c r="X6" s="6"/>
    </row>
    <row r="7" spans="1:24" x14ac:dyDescent="0.25">
      <c r="A7" s="2">
        <v>106</v>
      </c>
      <c r="B7" s="2" t="s">
        <v>15</v>
      </c>
      <c r="C7" s="2" t="s">
        <v>21</v>
      </c>
      <c r="D7" s="2" t="s">
        <v>29</v>
      </c>
      <c r="E7" s="2">
        <v>61000</v>
      </c>
      <c r="F7" s="2">
        <v>12</v>
      </c>
      <c r="G7" s="2">
        <v>160000</v>
      </c>
      <c r="H7" s="2" t="s">
        <v>34</v>
      </c>
      <c r="I7" s="2" t="s">
        <v>39</v>
      </c>
      <c r="J7" s="2">
        <v>29</v>
      </c>
      <c r="K7" t="str">
        <f t="shared" si="0"/>
        <v>Young</v>
      </c>
      <c r="M7" s="17" t="s">
        <v>42</v>
      </c>
      <c r="N7" s="18">
        <v>183500</v>
      </c>
      <c r="O7" s="18">
        <v>10</v>
      </c>
      <c r="P7" s="7"/>
      <c r="Q7" s="7"/>
      <c r="R7" s="7"/>
      <c r="S7" s="7"/>
      <c r="T7" s="7"/>
      <c r="U7" s="7"/>
      <c r="V7" s="7"/>
      <c r="W7" s="7"/>
      <c r="X7" s="6"/>
    </row>
    <row r="8" spans="1:24" x14ac:dyDescent="0.25">
      <c r="A8" s="2">
        <v>107</v>
      </c>
      <c r="B8" s="2" t="s">
        <v>16</v>
      </c>
      <c r="C8" s="2" t="s">
        <v>22</v>
      </c>
      <c r="D8" s="2" t="s">
        <v>30</v>
      </c>
      <c r="E8" s="2">
        <v>78000</v>
      </c>
      <c r="F8" s="2">
        <v>15</v>
      </c>
      <c r="G8" s="2">
        <v>270000</v>
      </c>
      <c r="H8" s="2" t="s">
        <v>35</v>
      </c>
      <c r="I8" s="2" t="s">
        <v>37</v>
      </c>
      <c r="J8" s="2">
        <v>27</v>
      </c>
      <c r="K8" t="str">
        <f t="shared" si="0"/>
        <v>Young</v>
      </c>
      <c r="P8" s="6"/>
      <c r="Q8" s="6"/>
      <c r="R8" s="6"/>
      <c r="S8" s="6"/>
      <c r="T8" s="6"/>
      <c r="U8" s="6"/>
      <c r="V8" s="6"/>
      <c r="W8" s="6"/>
      <c r="X8" s="6"/>
    </row>
    <row r="9" spans="1:24" x14ac:dyDescent="0.25">
      <c r="A9" s="2">
        <v>108</v>
      </c>
      <c r="B9" s="2" t="s">
        <v>17</v>
      </c>
      <c r="C9" s="2" t="s">
        <v>23</v>
      </c>
      <c r="D9" s="2" t="s">
        <v>31</v>
      </c>
      <c r="E9" s="2">
        <v>54000</v>
      </c>
      <c r="F9" s="2">
        <v>8</v>
      </c>
      <c r="G9" s="2">
        <v>120000</v>
      </c>
      <c r="H9" s="2" t="s">
        <v>36</v>
      </c>
      <c r="I9" s="2" t="s">
        <v>38</v>
      </c>
      <c r="J9" s="2">
        <v>36</v>
      </c>
      <c r="K9" t="str">
        <f t="shared" si="0"/>
        <v>senior</v>
      </c>
      <c r="P9" s="6"/>
      <c r="Q9" s="6"/>
      <c r="R9" s="6"/>
      <c r="S9" s="6"/>
      <c r="T9" s="6"/>
      <c r="U9" s="6"/>
      <c r="V9" s="6"/>
      <c r="W9" s="6"/>
      <c r="X9" s="6"/>
    </row>
    <row r="10" spans="1:24" x14ac:dyDescent="0.25">
      <c r="A10" s="2">
        <v>109</v>
      </c>
      <c r="B10" s="2" t="s">
        <v>18</v>
      </c>
      <c r="C10" s="2" t="s">
        <v>20</v>
      </c>
      <c r="D10" s="2" t="s">
        <v>32</v>
      </c>
      <c r="E10" s="2">
        <v>51000</v>
      </c>
      <c r="F10" s="2">
        <v>10</v>
      </c>
      <c r="G10" s="2">
        <v>210000</v>
      </c>
      <c r="H10" s="2" t="s">
        <v>35</v>
      </c>
      <c r="I10" s="2" t="s">
        <v>39</v>
      </c>
      <c r="J10" s="2">
        <v>31</v>
      </c>
      <c r="K10" t="str">
        <f t="shared" si="0"/>
        <v>Mid</v>
      </c>
      <c r="P10" s="6"/>
      <c r="Q10" s="6"/>
      <c r="R10" s="6"/>
      <c r="S10" s="6"/>
      <c r="T10" s="6"/>
      <c r="U10" s="6"/>
      <c r="V10" s="6"/>
      <c r="W10" s="6"/>
      <c r="X10" s="6"/>
    </row>
    <row r="11" spans="1:24" x14ac:dyDescent="0.25">
      <c r="A11" s="2">
        <v>110</v>
      </c>
      <c r="B11" s="2" t="s">
        <v>19</v>
      </c>
      <c r="C11" s="2" t="s">
        <v>21</v>
      </c>
      <c r="D11" s="2" t="s">
        <v>33</v>
      </c>
      <c r="E11" s="2">
        <v>62000</v>
      </c>
      <c r="F11" s="2">
        <v>12</v>
      </c>
      <c r="G11" s="2">
        <v>155000</v>
      </c>
      <c r="H11" s="2" t="s">
        <v>34</v>
      </c>
      <c r="I11" s="2" t="s">
        <v>37</v>
      </c>
      <c r="J11" s="2">
        <v>28</v>
      </c>
      <c r="K11" t="str">
        <f t="shared" si="0"/>
        <v>Young</v>
      </c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25">
      <c r="P12" s="6"/>
      <c r="Q12" s="6"/>
      <c r="R12" s="6"/>
      <c r="S12" s="6"/>
      <c r="T12" s="6"/>
      <c r="U12" s="6"/>
      <c r="V12" s="6"/>
      <c r="W12" s="6"/>
      <c r="X12" s="6"/>
    </row>
    <row r="13" spans="1:24" x14ac:dyDescent="0.25"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25"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25">
      <c r="M15" s="16" t="s">
        <v>41</v>
      </c>
      <c r="N15" t="s">
        <v>43</v>
      </c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L16" s="5"/>
      <c r="M16" s="17" t="s">
        <v>14</v>
      </c>
      <c r="N16" s="18">
        <v>220000</v>
      </c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25">
      <c r="G17" t="s">
        <v>40</v>
      </c>
      <c r="H17" s="1" t="s">
        <v>34</v>
      </c>
      <c r="M17" s="17" t="s">
        <v>16</v>
      </c>
      <c r="N17" s="18">
        <v>270000</v>
      </c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25">
      <c r="M18" s="17" t="s">
        <v>12</v>
      </c>
      <c r="N18" s="18">
        <v>250000</v>
      </c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25">
      <c r="M19" s="17" t="s">
        <v>42</v>
      </c>
      <c r="N19" s="18">
        <v>740000</v>
      </c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25"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25"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P22" s="3" t="s">
        <v>3</v>
      </c>
      <c r="Q22" s="3" t="s">
        <v>4</v>
      </c>
      <c r="R22" s="3" t="s">
        <v>5</v>
      </c>
      <c r="S22" s="3" t="s">
        <v>6</v>
      </c>
      <c r="T22" s="3" t="s">
        <v>7</v>
      </c>
      <c r="U22" s="3" t="s">
        <v>8</v>
      </c>
      <c r="V22" s="3" t="s">
        <v>9</v>
      </c>
    </row>
    <row r="23" spans="1:24" x14ac:dyDescent="0.25">
      <c r="A23" s="2">
        <v>101</v>
      </c>
      <c r="B23" s="2" t="s">
        <v>10</v>
      </c>
      <c r="C23" s="2" t="s">
        <v>20</v>
      </c>
      <c r="D23" s="2" t="s">
        <v>24</v>
      </c>
      <c r="E23" s="2">
        <v>50000</v>
      </c>
      <c r="F23" s="2">
        <v>10</v>
      </c>
      <c r="G23" s="2">
        <v>200000</v>
      </c>
      <c r="H23" s="2" t="s">
        <v>34</v>
      </c>
      <c r="I23" s="2" t="s">
        <v>37</v>
      </c>
      <c r="J23" s="2">
        <v>28</v>
      </c>
      <c r="P23" s="2" t="s">
        <v>24</v>
      </c>
      <c r="Q23" s="2">
        <v>50000</v>
      </c>
      <c r="R23" s="2">
        <v>10</v>
      </c>
      <c r="S23" s="2">
        <v>200000</v>
      </c>
      <c r="T23" s="2" t="s">
        <v>34</v>
      </c>
      <c r="U23" s="2" t="s">
        <v>37</v>
      </c>
      <c r="V23" s="2">
        <v>28</v>
      </c>
    </row>
    <row r="24" spans="1:24" x14ac:dyDescent="0.25">
      <c r="A24" s="2">
        <v>103</v>
      </c>
      <c r="B24" s="2" t="s">
        <v>12</v>
      </c>
      <c r="C24" s="2" t="s">
        <v>22</v>
      </c>
      <c r="D24" s="2" t="s">
        <v>26</v>
      </c>
      <c r="E24" s="2">
        <v>75000</v>
      </c>
      <c r="F24" s="2">
        <v>15</v>
      </c>
      <c r="G24" s="2">
        <v>250000</v>
      </c>
      <c r="H24" s="2" t="s">
        <v>34</v>
      </c>
      <c r="I24" s="2" t="s">
        <v>39</v>
      </c>
      <c r="J24" s="2">
        <v>26</v>
      </c>
      <c r="P24" s="2" t="s">
        <v>26</v>
      </c>
      <c r="Q24" s="2">
        <v>75000</v>
      </c>
      <c r="R24" s="2">
        <v>15</v>
      </c>
      <c r="S24" s="2">
        <v>250000</v>
      </c>
      <c r="T24" s="2" t="s">
        <v>34</v>
      </c>
      <c r="U24" s="2" t="s">
        <v>39</v>
      </c>
      <c r="V24" s="2">
        <v>26</v>
      </c>
    </row>
    <row r="25" spans="1:24" x14ac:dyDescent="0.25">
      <c r="A25" s="2">
        <v>106</v>
      </c>
      <c r="B25" s="2" t="s">
        <v>15</v>
      </c>
      <c r="C25" s="2" t="s">
        <v>21</v>
      </c>
      <c r="D25" s="2" t="s">
        <v>29</v>
      </c>
      <c r="E25" s="2">
        <v>61000</v>
      </c>
      <c r="F25" s="2">
        <v>12</v>
      </c>
      <c r="G25" s="2">
        <v>160000</v>
      </c>
      <c r="H25" s="2" t="s">
        <v>34</v>
      </c>
      <c r="I25" s="2" t="s">
        <v>39</v>
      </c>
      <c r="J25" s="2">
        <v>29</v>
      </c>
      <c r="P25" s="2" t="s">
        <v>28</v>
      </c>
      <c r="Q25" s="2">
        <v>52000</v>
      </c>
      <c r="R25" s="2">
        <v>10</v>
      </c>
      <c r="S25" s="2">
        <v>220000</v>
      </c>
      <c r="T25" s="2" t="s">
        <v>35</v>
      </c>
      <c r="U25" s="2" t="s">
        <v>38</v>
      </c>
      <c r="V25" s="2">
        <v>30</v>
      </c>
    </row>
    <row r="26" spans="1:24" x14ac:dyDescent="0.25">
      <c r="A26" s="2">
        <v>107</v>
      </c>
      <c r="B26" s="2" t="s">
        <v>16</v>
      </c>
      <c r="C26" s="2" t="s">
        <v>22</v>
      </c>
      <c r="D26" s="2" t="s">
        <v>30</v>
      </c>
      <c r="E26" s="2">
        <v>78000</v>
      </c>
      <c r="F26" s="2">
        <v>15</v>
      </c>
      <c r="G26" s="2">
        <v>270000</v>
      </c>
      <c r="H26" s="2" t="s">
        <v>35</v>
      </c>
      <c r="I26" s="2" t="s">
        <v>37</v>
      </c>
      <c r="J26" s="2">
        <v>27</v>
      </c>
      <c r="P26" s="2" t="s">
        <v>30</v>
      </c>
      <c r="Q26" s="2">
        <v>78000</v>
      </c>
      <c r="R26" s="2">
        <v>15</v>
      </c>
      <c r="S26" s="2">
        <v>270000</v>
      </c>
      <c r="T26" s="2" t="s">
        <v>35</v>
      </c>
      <c r="U26" s="2" t="s">
        <v>37</v>
      </c>
      <c r="V26" s="2">
        <v>27</v>
      </c>
    </row>
    <row r="27" spans="1:24" x14ac:dyDescent="0.25">
      <c r="A27" s="2">
        <v>110</v>
      </c>
      <c r="B27" s="2" t="s">
        <v>19</v>
      </c>
      <c r="C27" s="2" t="s">
        <v>21</v>
      </c>
      <c r="D27" s="2" t="s">
        <v>33</v>
      </c>
      <c r="E27" s="2">
        <v>62000</v>
      </c>
      <c r="F27" s="2">
        <v>12</v>
      </c>
      <c r="G27" s="2">
        <v>155000</v>
      </c>
      <c r="H27" s="2" t="s">
        <v>34</v>
      </c>
      <c r="I27" s="2" t="s">
        <v>37</v>
      </c>
      <c r="J27" s="2">
        <v>28</v>
      </c>
      <c r="P27" s="2" t="s">
        <v>32</v>
      </c>
      <c r="Q27" s="2">
        <v>51000</v>
      </c>
      <c r="R27" s="2">
        <v>10</v>
      </c>
      <c r="S27" s="2">
        <v>210000</v>
      </c>
      <c r="T27" s="2" t="s">
        <v>35</v>
      </c>
      <c r="U27" s="2" t="s">
        <v>39</v>
      </c>
      <c r="V27" s="2">
        <v>31</v>
      </c>
    </row>
    <row r="28" spans="1:24" x14ac:dyDescent="0.25">
      <c r="P28" s="7"/>
      <c r="Q28" s="7"/>
      <c r="R28" s="7"/>
      <c r="S28" s="7"/>
      <c r="T28" s="7"/>
      <c r="U28" s="7"/>
      <c r="V28" s="7"/>
      <c r="W28" s="6"/>
      <c r="X28" s="6"/>
    </row>
    <row r="29" spans="1:24" x14ac:dyDescent="0.25">
      <c r="P29" s="7"/>
      <c r="Q29" s="7"/>
      <c r="R29" s="7"/>
      <c r="S29" s="7"/>
      <c r="T29" s="7"/>
      <c r="U29" s="7"/>
      <c r="V29" s="7"/>
      <c r="W29" s="6"/>
      <c r="X29" s="6"/>
    </row>
    <row r="30" spans="1:24" x14ac:dyDescent="0.25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  <c r="I30" s="3" t="s">
        <v>8</v>
      </c>
      <c r="J30" s="3" t="s">
        <v>9</v>
      </c>
      <c r="P30" s="7"/>
      <c r="Q30" s="7"/>
      <c r="R30" s="7"/>
      <c r="S30" s="7"/>
      <c r="T30" s="7"/>
      <c r="U30" s="7"/>
      <c r="V30" s="7"/>
      <c r="W30" s="6"/>
      <c r="X30" s="6"/>
    </row>
    <row r="31" spans="1:24" x14ac:dyDescent="0.25">
      <c r="A31" s="2">
        <v>101</v>
      </c>
      <c r="B31" s="2" t="s">
        <v>10</v>
      </c>
      <c r="C31" s="2" t="s">
        <v>20</v>
      </c>
      <c r="D31" s="2" t="s">
        <v>24</v>
      </c>
      <c r="E31" s="2">
        <v>50000</v>
      </c>
      <c r="F31" s="2">
        <v>10</v>
      </c>
      <c r="G31" s="2">
        <v>200000</v>
      </c>
      <c r="H31" s="2" t="s">
        <v>34</v>
      </c>
      <c r="I31" s="2" t="s">
        <v>37</v>
      </c>
      <c r="J31" s="2">
        <v>28</v>
      </c>
      <c r="P31" s="3" t="s">
        <v>3</v>
      </c>
      <c r="Q31" s="3" t="s">
        <v>4</v>
      </c>
      <c r="R31" s="3" t="s">
        <v>5</v>
      </c>
      <c r="S31" s="3" t="s">
        <v>6</v>
      </c>
      <c r="T31" s="3" t="s">
        <v>7</v>
      </c>
      <c r="U31" s="3" t="s">
        <v>8</v>
      </c>
      <c r="V31" s="3" t="s">
        <v>9</v>
      </c>
      <c r="W31" s="6"/>
      <c r="X31" s="6"/>
    </row>
    <row r="32" spans="1:24" x14ac:dyDescent="0.25">
      <c r="A32" s="2">
        <v>103</v>
      </c>
      <c r="B32" s="2" t="s">
        <v>12</v>
      </c>
      <c r="C32" s="2" t="s">
        <v>22</v>
      </c>
      <c r="D32" s="2" t="s">
        <v>26</v>
      </c>
      <c r="E32" s="2">
        <v>75000</v>
      </c>
      <c r="F32" s="2">
        <v>15</v>
      </c>
      <c r="G32" s="2">
        <v>250000</v>
      </c>
      <c r="H32" s="2" t="s">
        <v>34</v>
      </c>
      <c r="I32" s="2" t="s">
        <v>39</v>
      </c>
      <c r="J32" s="2">
        <v>26</v>
      </c>
      <c r="P32" s="2" t="s">
        <v>24</v>
      </c>
      <c r="Q32" s="2">
        <v>50000</v>
      </c>
      <c r="R32" s="2">
        <v>10</v>
      </c>
      <c r="S32" s="2">
        <v>200000</v>
      </c>
      <c r="T32" s="2" t="s">
        <v>34</v>
      </c>
      <c r="U32" s="2" t="s">
        <v>37</v>
      </c>
      <c r="V32" s="2">
        <v>28</v>
      </c>
      <c r="W32" s="6"/>
      <c r="X32" s="6"/>
    </row>
    <row r="33" spans="1:24" x14ac:dyDescent="0.25">
      <c r="A33" s="2">
        <v>106</v>
      </c>
      <c r="B33" s="2" t="s">
        <v>15</v>
      </c>
      <c r="C33" s="2" t="s">
        <v>21</v>
      </c>
      <c r="D33" s="2" t="s">
        <v>29</v>
      </c>
      <c r="E33" s="2">
        <v>61000</v>
      </c>
      <c r="F33" s="2">
        <v>12</v>
      </c>
      <c r="G33" s="2">
        <v>160000</v>
      </c>
      <c r="H33" s="2" t="s">
        <v>34</v>
      </c>
      <c r="I33" s="2" t="s">
        <v>39</v>
      </c>
      <c r="J33" s="2">
        <v>29</v>
      </c>
      <c r="M33" s="2">
        <v>103</v>
      </c>
      <c r="N33" s="2" t="s">
        <v>12</v>
      </c>
      <c r="O33" s="2" t="s">
        <v>22</v>
      </c>
      <c r="P33" s="2" t="s">
        <v>26</v>
      </c>
      <c r="Q33" s="2">
        <v>75000</v>
      </c>
      <c r="R33" s="2">
        <v>15</v>
      </c>
      <c r="S33" s="2">
        <v>250000</v>
      </c>
      <c r="T33" s="2" t="s">
        <v>34</v>
      </c>
      <c r="U33" s="2" t="s">
        <v>39</v>
      </c>
      <c r="V33" s="2">
        <v>26</v>
      </c>
      <c r="W33" s="6"/>
      <c r="X33" s="6"/>
    </row>
    <row r="34" spans="1:24" x14ac:dyDescent="0.25">
      <c r="A34" s="2">
        <v>110</v>
      </c>
      <c r="B34" s="2" t="s">
        <v>19</v>
      </c>
      <c r="C34" s="2" t="s">
        <v>21</v>
      </c>
      <c r="D34" s="2" t="s">
        <v>33</v>
      </c>
      <c r="E34" s="2">
        <v>62000</v>
      </c>
      <c r="F34" s="2">
        <v>12</v>
      </c>
      <c r="G34" s="2">
        <v>155000</v>
      </c>
      <c r="H34" s="2" t="s">
        <v>34</v>
      </c>
      <c r="I34" s="2" t="s">
        <v>37</v>
      </c>
      <c r="J34" s="2">
        <v>28</v>
      </c>
    </row>
    <row r="36" spans="1:24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24" x14ac:dyDescent="0.25">
      <c r="A37" s="7"/>
      <c r="B37" s="6"/>
      <c r="C37" s="6"/>
      <c r="D37" s="6"/>
      <c r="E37" s="6"/>
      <c r="F37" s="6"/>
      <c r="G37" s="6"/>
      <c r="H37" s="6"/>
      <c r="I37" s="6"/>
      <c r="J37" s="6"/>
    </row>
    <row r="38" spans="1:2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</sheetData>
  <conditionalFormatting sqref="A2:J11">
    <cfRule type="expression" dxfId="0" priority="1">
      <formula>AND($G2&gt;=200000,$H2="A")</formula>
    </cfRule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Sheet3</vt:lpstr>
      <vt:lpstr>Sheet2</vt:lpstr>
      <vt:lpstr>Sheet2!Criteria</vt:lpstr>
      <vt:lpstr>Sheet2!Extract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Jishnu K</cp:lastModifiedBy>
  <dcterms:created xsi:type="dcterms:W3CDTF">2026-01-28T18:02:48Z</dcterms:created>
  <dcterms:modified xsi:type="dcterms:W3CDTF">2026-01-28T21:21:16Z</dcterms:modified>
</cp:coreProperties>
</file>