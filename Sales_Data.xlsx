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417"/>
  <workbookPr codeName="ThisWorkbook" hidePivotFieldList="1" defaultThemeVersion="124226"/>
  <mc:AlternateContent xmlns:mc="http://schemas.openxmlformats.org/markup-compatibility/2006">
    <mc:Choice Requires="x15">
      <x15ac:absPath xmlns:x15ac="http://schemas.microsoft.com/office/spreadsheetml/2010/11/ac" url="C:\Users\jk977\OneDrive\Desktop\Excel Study\"/>
    </mc:Choice>
  </mc:AlternateContent>
  <xr:revisionPtr revIDLastSave="0" documentId="13_ncr:1_{4872A2A3-199B-4EF9-99CD-54189ADBC6F1}" xr6:coauthVersionLast="36" xr6:coauthVersionMax="36" xr10:uidLastSave="{00000000-0000-0000-0000-000000000000}"/>
  <bookViews>
    <workbookView xWindow="240" yWindow="15" windowWidth="16095" windowHeight="9660" xr2:uid="{00000000-000D-0000-FFFF-FFFF00000000}"/>
  </bookViews>
  <sheets>
    <sheet name="Sheet3" sheetId="3" r:id="rId1"/>
    <sheet name="Sheet1" sheetId="1" r:id="rId2"/>
  </sheets>
  <definedNames>
    <definedName name="_xlnm._FilterDatabase" localSheetId="0" hidden="1">Sheet3!$A$37:$M$40</definedName>
    <definedName name="_xlnm.Criteria" localSheetId="0">Sheet3!$A$20:$N$21</definedName>
    <definedName name="_xlnm.Extract" localSheetId="0">Sheet3!$A$44:$M$44</definedName>
    <definedName name="Slicer_Sales_Rep">#N/A</definedName>
  </definedNames>
  <calcPr calcId="191029"/>
  <pivotCaches>
    <pivotCache cacheId="5" r:id="rId3"/>
    <pivotCache cacheId="8"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Lst>
</workbook>
</file>

<file path=xl/calcChain.xml><?xml version="1.0" encoding="utf-8"?>
<calcChain xmlns="http://schemas.openxmlformats.org/spreadsheetml/2006/main">
  <c r="K19" i="3" l="1"/>
  <c r="H19" i="3"/>
  <c r="E19" i="3"/>
  <c r="M3" i="3"/>
  <c r="M4" i="3"/>
  <c r="M5" i="3"/>
  <c r="M6" i="3"/>
  <c r="M7" i="3"/>
  <c r="M8" i="3"/>
  <c r="M9" i="3"/>
  <c r="M10" i="3"/>
  <c r="M11" i="3"/>
  <c r="M12" i="3"/>
  <c r="M13" i="3"/>
  <c r="M14" i="3"/>
  <c r="M15" i="3"/>
  <c r="M16" i="3"/>
  <c r="M17" i="3"/>
  <c r="M2" i="3"/>
  <c r="M3" i="1"/>
  <c r="M4" i="1"/>
  <c r="M5" i="1"/>
  <c r="M6" i="1"/>
  <c r="M7" i="1"/>
  <c r="M8" i="1"/>
  <c r="M9" i="1"/>
  <c r="M10" i="1"/>
  <c r="M11" i="1"/>
  <c r="M12" i="1"/>
  <c r="M13" i="1"/>
  <c r="M14" i="1"/>
  <c r="M15" i="1"/>
  <c r="M16" i="1"/>
  <c r="M17" i="1"/>
  <c r="M18" i="1"/>
  <c r="I19" i="1"/>
  <c r="E19" i="1"/>
</calcChain>
</file>

<file path=xl/sharedStrings.xml><?xml version="1.0" encoding="utf-8"?>
<sst xmlns="http://schemas.openxmlformats.org/spreadsheetml/2006/main" count="464" uniqueCount="117">
  <si>
    <t>Date</t>
  </si>
  <si>
    <t>Region</t>
  </si>
  <si>
    <t>Sales_Rep</t>
  </si>
  <si>
    <t>Product</t>
  </si>
  <si>
    <t>Units_Sold</t>
  </si>
  <si>
    <t>Unit_Price</t>
  </si>
  <si>
    <t>Cost_Per_Unit</t>
  </si>
  <si>
    <t>Category</t>
  </si>
  <si>
    <t>Customer_Rating</t>
  </si>
  <si>
    <t>Payment_Method</t>
  </si>
  <si>
    <t>2024-01-15</t>
  </si>
  <si>
    <t>2024-01-16</t>
  </si>
  <si>
    <t>2024-01-17</t>
  </si>
  <si>
    <t>2024-01-18</t>
  </si>
  <si>
    <t>2024-01-19</t>
  </si>
  <si>
    <t>2024-01-20</t>
  </si>
  <si>
    <t>2024-01-21</t>
  </si>
  <si>
    <t>2024-01-22</t>
  </si>
  <si>
    <t>North</t>
  </si>
  <si>
    <t>South</t>
  </si>
  <si>
    <t>East</t>
  </si>
  <si>
    <t>West</t>
  </si>
  <si>
    <t>John Smith</t>
  </si>
  <si>
    <t>Emma Johnson</t>
  </si>
  <si>
    <t>Michael Chen</t>
  </si>
  <si>
    <t>Sarah Williams</t>
  </si>
  <si>
    <t>David Lee</t>
  </si>
  <si>
    <t>Lisa Brown</t>
  </si>
  <si>
    <t>Robert Taylor</t>
  </si>
  <si>
    <t>Maria Garcia</t>
  </si>
  <si>
    <t>James Wilson</t>
  </si>
  <si>
    <t>Patricia Moore</t>
  </si>
  <si>
    <t>William Clark</t>
  </si>
  <si>
    <t>Jennifer Lewis</t>
  </si>
  <si>
    <t>Charles Robinson</t>
  </si>
  <si>
    <t>Karen Walker</t>
  </si>
  <si>
    <t>Daniel Young</t>
  </si>
  <si>
    <t>Susan King</t>
  </si>
  <si>
    <t>Laptop</t>
  </si>
  <si>
    <t>Desk Chair</t>
  </si>
  <si>
    <t>Notebook</t>
  </si>
  <si>
    <t>Monitor</t>
  </si>
  <si>
    <t>Coffee Mug</t>
  </si>
  <si>
    <t>Keyboard</t>
  </si>
  <si>
    <t>Desk Lamp</t>
  </si>
  <si>
    <t>Stapler</t>
  </si>
  <si>
    <t>Headphones</t>
  </si>
  <si>
    <t>Office Chair</t>
  </si>
  <si>
    <t>Mouse</t>
  </si>
  <si>
    <t>Pen Set</t>
  </si>
  <si>
    <t>Coffee Maker</t>
  </si>
  <si>
    <t>Tablet</t>
  </si>
  <si>
    <t>File Cabinet</t>
  </si>
  <si>
    <t>Electronics</t>
  </si>
  <si>
    <t>Furniture</t>
  </si>
  <si>
    <t>Office Supplies</t>
  </si>
  <si>
    <t>Kitchen</t>
  </si>
  <si>
    <t>Credit Card</t>
  </si>
  <si>
    <t>PayPal</t>
  </si>
  <si>
    <t>Cash</t>
  </si>
  <si>
    <t>First Name</t>
  </si>
  <si>
    <t>Last Name</t>
  </si>
  <si>
    <t>John</t>
  </si>
  <si>
    <t>Smith</t>
  </si>
  <si>
    <t>Emma</t>
  </si>
  <si>
    <t>Johnson</t>
  </si>
  <si>
    <t>Michael</t>
  </si>
  <si>
    <t>Chen</t>
  </si>
  <si>
    <t>Sarah</t>
  </si>
  <si>
    <t>Williams</t>
  </si>
  <si>
    <t>David</t>
  </si>
  <si>
    <t>Lee</t>
  </si>
  <si>
    <t>Lisa</t>
  </si>
  <si>
    <t>Brown</t>
  </si>
  <si>
    <t>Robert</t>
  </si>
  <si>
    <t>Taylor</t>
  </si>
  <si>
    <t>Maria</t>
  </si>
  <si>
    <t>Garcia</t>
  </si>
  <si>
    <t>James</t>
  </si>
  <si>
    <t>Wilson</t>
  </si>
  <si>
    <t>Patricia</t>
  </si>
  <si>
    <t>Moore</t>
  </si>
  <si>
    <t>William</t>
  </si>
  <si>
    <t>Clark</t>
  </si>
  <si>
    <t>Jennifer</t>
  </si>
  <si>
    <t>Lewis</t>
  </si>
  <si>
    <t>Charles</t>
  </si>
  <si>
    <t>Robinson</t>
  </si>
  <si>
    <t>Karen</t>
  </si>
  <si>
    <t>Walker</t>
  </si>
  <si>
    <t>Daniel</t>
  </si>
  <si>
    <t>Young</t>
  </si>
  <si>
    <t>Susan</t>
  </si>
  <si>
    <t>King</t>
  </si>
  <si>
    <t>Unit Sales Status</t>
  </si>
  <si>
    <t>Row Labels</t>
  </si>
  <si>
    <t>Grand Total</t>
  </si>
  <si>
    <t>Bad Sales</t>
  </si>
  <si>
    <t>Good Sales</t>
  </si>
  <si>
    <t>Sum of Units_Sold</t>
  </si>
  <si>
    <t>2024-0130</t>
  </si>
  <si>
    <t xml:space="preserve"> John Smirnof</t>
  </si>
  <si>
    <t>Pencil</t>
  </si>
  <si>
    <t>Smirnof</t>
  </si>
  <si>
    <t>status of unit sold</t>
  </si>
  <si>
    <t>good sales</t>
  </si>
  <si>
    <t>bad sales</t>
  </si>
  <si>
    <t>Units_sold</t>
  </si>
  <si>
    <t>&gt;=80</t>
  </si>
  <si>
    <t>&lt;=200</t>
  </si>
  <si>
    <t>north and east good sales only</t>
  </si>
  <si>
    <t>north and east bad sales only</t>
  </si>
  <si>
    <t>unit sold between 80 and 200</t>
  </si>
  <si>
    <t>total unit sold in good sales</t>
  </si>
  <si>
    <t>total sale of electronic items</t>
  </si>
  <si>
    <t>total card payments</t>
  </si>
  <si>
    <t>Count of Payment_Method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</si>
</sst>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0"/>
      <name val="Calibri"/>
      <family val="2"/>
      <scheme val="minor"/>
    </font>
  </fonts>
  <fills count="4">
    <fill>
      <patternFill patternType="none"/>
    </fill>
    <fill>
      <patternFill patternType="gray125"/>
    </fill>
    <fill>
      <patternFill patternType="solid">
        <fgColor theme="1"/>
        <bgColor indexed="64"/>
      </patternFill>
    </fill>
    <fill>
      <patternFill patternType="solid">
        <fgColor rgb="FF92D050"/>
        <bgColor indexed="64"/>
      </patternFill>
    </fill>
  </fills>
  <borders count="15">
    <border>
      <left/>
      <right/>
      <top/>
      <bottom/>
      <diagonal/>
    </border>
    <border>
      <left style="thin">
        <color auto="1"/>
      </left>
      <right style="thin">
        <color auto="1"/>
      </right>
      <top style="thin">
        <color auto="1"/>
      </top>
      <bottom style="thin">
        <color auto="1"/>
      </bottom>
      <diagonal/>
    </border>
    <border>
      <left style="thin">
        <color theme="0"/>
      </left>
      <right style="thin">
        <color theme="0"/>
      </right>
      <top style="thin">
        <color theme="0"/>
      </top>
      <bottom style="thin">
        <color theme="0"/>
      </bottom>
      <diagonal/>
    </border>
    <border>
      <left style="thin">
        <color auto="1"/>
      </left>
      <right style="thin">
        <color auto="1"/>
      </right>
      <top/>
      <bottom style="thin">
        <color auto="1"/>
      </bottom>
      <diagonal/>
    </border>
    <border>
      <left style="thin">
        <color theme="0"/>
      </left>
      <right style="thin">
        <color theme="0"/>
      </right>
      <top/>
      <bottom/>
      <diagonal/>
    </border>
    <border>
      <left style="thin">
        <color auto="1"/>
      </left>
      <right/>
      <top/>
      <bottom style="thin">
        <color auto="1"/>
      </bottom>
      <diagonal/>
    </border>
    <border>
      <left style="thin">
        <color auto="1"/>
      </left>
      <right/>
      <top style="thin">
        <color auto="1"/>
      </top>
      <bottom style="thin">
        <color auto="1"/>
      </bottom>
      <diagonal/>
    </border>
    <border>
      <left style="thin">
        <color theme="1"/>
      </left>
      <right style="thin">
        <color theme="1"/>
      </right>
      <top style="thin">
        <color theme="1"/>
      </top>
      <bottom style="thin">
        <color theme="1"/>
      </bottom>
      <diagonal/>
    </border>
    <border>
      <left/>
      <right style="thin">
        <color auto="1"/>
      </right>
      <top style="thin">
        <color auto="1"/>
      </top>
      <bottom style="thin">
        <color auto="1"/>
      </bottom>
      <diagonal/>
    </border>
    <border>
      <left/>
      <right style="thin">
        <color auto="1"/>
      </right>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style="thin">
        <color auto="1"/>
      </left>
      <right/>
      <top/>
      <bottom/>
      <diagonal/>
    </border>
    <border>
      <left style="thin">
        <color auto="1"/>
      </left>
      <right style="thin">
        <color auto="1"/>
      </right>
      <top/>
      <bottom/>
      <diagonal/>
    </border>
  </borders>
  <cellStyleXfs count="1">
    <xf numFmtId="0" fontId="0" fillId="0" borderId="0"/>
  </cellStyleXfs>
  <cellXfs count="29">
    <xf numFmtId="0" fontId="0" fillId="0" borderId="0" xfId="0"/>
    <xf numFmtId="0" fontId="1" fillId="2" borderId="2" xfId="0" applyFont="1" applyFill="1" applyBorder="1" applyAlignment="1">
      <alignment horizontal="center" vertical="top"/>
    </xf>
    <xf numFmtId="0" fontId="0" fillId="0" borderId="3" xfId="0" applyBorder="1" applyAlignment="1">
      <alignment horizontal="center"/>
    </xf>
    <xf numFmtId="0" fontId="0" fillId="0" borderId="1" xfId="0" applyBorder="1" applyAlignment="1">
      <alignment horizontal="center"/>
    </xf>
    <xf numFmtId="0" fontId="1" fillId="2" borderId="4" xfId="0" applyFont="1" applyFill="1" applyBorder="1" applyAlignment="1">
      <alignment horizontal="center" vertical="top"/>
    </xf>
    <xf numFmtId="0" fontId="0" fillId="0" borderId="5" xfId="0"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1" fillId="2" borderId="1" xfId="0" applyFont="1" applyFill="1" applyBorder="1" applyAlignment="1">
      <alignment horizontal="center" vertical="top"/>
    </xf>
    <xf numFmtId="0" fontId="0" fillId="0" borderId="1" xfId="0" applyBorder="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xf numFmtId="0" fontId="0" fillId="0" borderId="8" xfId="0" applyBorder="1" applyAlignment="1">
      <alignment horizontal="center"/>
    </xf>
    <xf numFmtId="0" fontId="1" fillId="2" borderId="9" xfId="0" applyFont="1" applyFill="1" applyBorder="1" applyAlignment="1">
      <alignment horizontal="center" vertical="top"/>
    </xf>
    <xf numFmtId="0" fontId="1" fillId="2" borderId="3" xfId="0" applyFont="1" applyFill="1" applyBorder="1" applyAlignment="1">
      <alignment horizontal="center" vertical="top"/>
    </xf>
    <xf numFmtId="0" fontId="1" fillId="2" borderId="5" xfId="0" applyFont="1" applyFill="1" applyBorder="1" applyAlignment="1">
      <alignment horizontal="center" vertical="top"/>
    </xf>
    <xf numFmtId="0" fontId="0" fillId="0" borderId="10" xfId="0" applyBorder="1" applyAlignment="1">
      <alignment horizontal="center"/>
    </xf>
    <xf numFmtId="0" fontId="0" fillId="0" borderId="11" xfId="0" applyBorder="1" applyAlignment="1">
      <alignment horizontal="center"/>
    </xf>
    <xf numFmtId="0" fontId="0" fillId="0" borderId="12" xfId="0" applyBorder="1" applyAlignment="1">
      <alignment horizontal="center"/>
    </xf>
    <xf numFmtId="0" fontId="1" fillId="2" borderId="0" xfId="0" applyFont="1" applyFill="1" applyBorder="1" applyAlignment="1">
      <alignment horizontal="center" vertical="top"/>
    </xf>
    <xf numFmtId="0" fontId="0" fillId="0" borderId="0" xfId="0" applyBorder="1" applyAlignment="1">
      <alignment horizontal="center"/>
    </xf>
    <xf numFmtId="0" fontId="0" fillId="0" borderId="0" xfId="0" applyBorder="1"/>
    <xf numFmtId="0" fontId="0" fillId="0" borderId="0" xfId="0" applyFill="1" applyBorder="1" applyAlignment="1">
      <alignment horizontal="center"/>
    </xf>
    <xf numFmtId="0" fontId="0" fillId="0" borderId="13" xfId="0" applyFill="1" applyBorder="1" applyAlignment="1">
      <alignment horizontal="center"/>
    </xf>
    <xf numFmtId="0" fontId="0" fillId="3" borderId="0" xfId="0" applyFill="1"/>
    <xf numFmtId="0" fontId="0" fillId="3" borderId="14" xfId="0" applyFill="1" applyBorder="1" applyAlignment="1">
      <alignment horizontal="center"/>
    </xf>
    <xf numFmtId="0" fontId="0" fillId="3" borderId="0" xfId="0" applyFill="1" applyBorder="1" applyAlignment="1">
      <alignment horizontal="center"/>
    </xf>
  </cellXfs>
  <cellStyles count="1">
    <cellStyle name="Normal" xfId="0" builtinId="0"/>
  </cellStyles>
  <dxfs count="34">
    <dxf>
      <font>
        <color theme="1"/>
      </font>
      <fill>
        <gradientFill degree="180">
          <stop position="0">
            <color theme="0"/>
          </stop>
          <stop position="1">
            <color rgb="FFFF0000"/>
          </stop>
        </gradientFill>
      </fill>
    </dxf>
    <dxf>
      <font>
        <color rgb="FF9C0006"/>
      </font>
      <fill>
        <gradientFill degree="180">
          <stop position="0">
            <color theme="0"/>
          </stop>
          <stop position="1">
            <color rgb="FF00B050"/>
          </stop>
        </gradientFill>
      </fill>
    </dxf>
    <dxf>
      <font>
        <color theme="1"/>
      </font>
      <fill>
        <patternFill>
          <bgColor rgb="FFFFFF00"/>
        </patternFill>
      </fill>
    </dxf>
    <dxf>
      <alignment horizontal="center" vertical="bottom" textRotation="0" wrapText="0" indent="0" justifyLastLine="0" shrinkToFit="0" readingOrder="0"/>
      <border diagonalUp="0" diagonalDown="0" outline="0">
        <left style="thin">
          <color auto="1"/>
        </left>
        <right/>
        <top style="thin">
          <color auto="1"/>
        </top>
        <bottom/>
      </border>
    </dxf>
    <dxf>
      <alignment horizontal="center" vertical="bottom" textRotation="0" wrapText="0" indent="0" justifyLastLine="0" shrinkToFit="0" readingOrder="0"/>
      <border diagonalUp="0" diagonalDown="0" outline="0">
        <left style="thin">
          <color auto="1"/>
        </left>
        <right style="thin">
          <color auto="1"/>
        </right>
        <top style="thin">
          <color auto="1"/>
        </top>
        <bottom/>
      </border>
    </dxf>
    <dxf>
      <alignment horizontal="center" vertical="bottom" textRotation="0" wrapText="0" indent="0" justifyLastLine="0" shrinkToFit="0" readingOrder="0"/>
      <border diagonalUp="0" diagonalDown="0" outline="0">
        <left style="thin">
          <color auto="1"/>
        </left>
        <right style="thin">
          <color auto="1"/>
        </right>
        <top style="thin">
          <color auto="1"/>
        </top>
        <bottom/>
      </border>
    </dxf>
    <dxf>
      <alignment horizontal="center" vertical="bottom" textRotation="0" wrapText="0" indent="0" justifyLastLine="0" shrinkToFit="0" readingOrder="0"/>
      <border diagonalUp="0" diagonalDown="0" outline="0">
        <left style="thin">
          <color auto="1"/>
        </left>
        <right style="thin">
          <color auto="1"/>
        </right>
        <top style="thin">
          <color auto="1"/>
        </top>
        <bottom/>
      </border>
    </dxf>
    <dxf>
      <alignment horizontal="center" vertical="bottom" textRotation="0" wrapText="0" indent="0" justifyLastLine="0" shrinkToFit="0" readingOrder="0"/>
      <border diagonalUp="0" diagonalDown="0" outline="0">
        <left style="thin">
          <color auto="1"/>
        </left>
        <right style="thin">
          <color auto="1"/>
        </right>
        <top style="thin">
          <color auto="1"/>
        </top>
        <bottom/>
      </border>
    </dxf>
    <dxf>
      <alignment horizontal="center" vertical="bottom" textRotation="0" wrapText="0" indent="0" justifyLastLine="0" shrinkToFit="0" readingOrder="0"/>
      <border diagonalUp="0" diagonalDown="0" outline="0">
        <left style="thin">
          <color auto="1"/>
        </left>
        <right style="thin">
          <color auto="1"/>
        </right>
        <top style="thin">
          <color auto="1"/>
        </top>
        <bottom/>
      </border>
    </dxf>
    <dxf>
      <alignment horizontal="center" vertical="bottom" textRotation="0" wrapText="0" indent="0" justifyLastLine="0" shrinkToFit="0" readingOrder="0"/>
      <border diagonalUp="0" diagonalDown="0" outline="0">
        <left style="thin">
          <color auto="1"/>
        </left>
        <right style="thin">
          <color auto="1"/>
        </right>
        <top style="thin">
          <color auto="1"/>
        </top>
        <bottom/>
      </border>
    </dxf>
    <dxf>
      <alignment horizontal="center" vertical="bottom" textRotation="0" wrapText="0" indent="0" justifyLastLine="0" shrinkToFit="0" readingOrder="0"/>
      <border diagonalUp="0" diagonalDown="0" outline="0">
        <left style="thin">
          <color auto="1"/>
        </left>
        <right style="thin">
          <color auto="1"/>
        </right>
        <top style="thin">
          <color auto="1"/>
        </top>
        <bottom/>
      </border>
    </dxf>
    <dxf>
      <alignment horizontal="center" vertical="bottom" textRotation="0" wrapText="0" indent="0" justifyLastLine="0" shrinkToFit="0" readingOrder="0"/>
      <border diagonalUp="0" diagonalDown="0" outline="0">
        <left style="thin">
          <color auto="1"/>
        </left>
        <right style="thin">
          <color auto="1"/>
        </right>
        <top style="thin">
          <color auto="1"/>
        </top>
        <bottom/>
      </border>
    </dxf>
    <dxf>
      <alignment horizontal="center" vertical="bottom" textRotation="0" wrapText="0" indent="0" justifyLastLine="0" shrinkToFit="0" readingOrder="0"/>
      <border diagonalUp="0" diagonalDown="0" outline="0">
        <left style="thin">
          <color auto="1"/>
        </left>
        <right style="thin">
          <color auto="1"/>
        </right>
        <top style="thin">
          <color auto="1"/>
        </top>
        <bottom/>
      </border>
    </dxf>
    <dxf>
      <alignment horizontal="center" vertical="bottom" textRotation="0" wrapText="0" indent="0" justifyLastLine="0" shrinkToFit="0" readingOrder="0"/>
      <border diagonalUp="0" diagonalDown="0" outline="0">
        <left style="thin">
          <color auto="1"/>
        </left>
        <right style="thin">
          <color auto="1"/>
        </right>
        <top style="thin">
          <color auto="1"/>
        </top>
        <bottom/>
      </border>
    </dxf>
    <dxf>
      <alignment horizontal="center" vertical="bottom" textRotation="0" wrapText="0" indent="0" justifyLastLine="0" shrinkToFit="0" readingOrder="0"/>
      <border diagonalUp="0" diagonalDown="0" outline="0">
        <left style="thin">
          <color auto="1"/>
        </left>
        <right style="thin">
          <color auto="1"/>
        </right>
        <top style="thin">
          <color auto="1"/>
        </top>
        <bottom/>
      </border>
    </dxf>
    <dxf>
      <alignment horizontal="center" vertical="bottom" textRotation="0" wrapText="0" indent="0" justifyLastLine="0" shrinkToFit="0" readingOrder="0"/>
      <border diagonalUp="0" diagonalDown="0" outline="0">
        <left/>
        <right style="thin">
          <color auto="1"/>
        </right>
        <top style="thin">
          <color auto="1"/>
        </top>
        <bottom/>
      </border>
    </dxf>
    <dxf>
      <numFmt numFmtId="0" formatCode="General"/>
      <alignment horizontal="center" vertical="bottom" textRotation="0" wrapText="0" indent="0" justifyLastLine="0" shrinkToFit="0" readingOrder="0"/>
      <border diagonalUp="0" diagonalDown="0">
        <left style="thin">
          <color auto="1"/>
        </left>
        <right/>
        <top style="thin">
          <color auto="1"/>
        </top>
        <bottom style="thin">
          <color auto="1"/>
        </bottom>
        <vertical/>
        <horizontal/>
      </border>
    </dxf>
    <dxf>
      <font>
        <b/>
        <i val="0"/>
        <strike val="0"/>
        <condense val="0"/>
        <extend val="0"/>
        <outline val="0"/>
        <shadow val="0"/>
        <u val="none"/>
        <vertAlign val="baseline"/>
        <sz val="11"/>
        <color theme="0"/>
        <name val="Calibri"/>
        <family val="2"/>
        <scheme val="minor"/>
      </font>
      <fill>
        <patternFill patternType="solid">
          <fgColor indexed="64"/>
          <bgColor theme="1"/>
        </patternFill>
      </fill>
      <alignment horizontal="center" vertical="top" textRotation="0" wrapText="0" indent="0" justifyLastLine="0" shrinkToFit="0" readingOrder="0"/>
      <border diagonalUp="0" diagonalDown="0" outline="0">
        <left style="thin">
          <color auto="1"/>
        </left>
        <right style="thin">
          <color auto="1"/>
        </right>
        <top/>
        <bottom/>
      </border>
    </dxf>
    <dxf>
      <alignment horizontal="center" vertical="bottom" textRotation="0" wrapText="0" indent="0" justifyLastLine="0" shrinkToFit="0" readingOrder="0"/>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bottom style="thin">
          <color auto="1"/>
        </bottom>
      </border>
    </dxf>
    <dxf>
      <border outline="0">
        <left style="thin">
          <color auto="1"/>
        </left>
        <right style="thin">
          <color auto="1"/>
        </right>
        <top style="thin">
          <color auto="1"/>
        </top>
        <bottom style="thin">
          <color auto="1"/>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2.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editAs="oneCell">
    <xdr:from>
      <xdr:col>4</xdr:col>
      <xdr:colOff>619125</xdr:colOff>
      <xdr:row>19</xdr:row>
      <xdr:rowOff>38100</xdr:rowOff>
    </xdr:from>
    <xdr:to>
      <xdr:col>6</xdr:col>
      <xdr:colOff>257175</xdr:colOff>
      <xdr:row>29</xdr:row>
      <xdr:rowOff>171450</xdr:rowOff>
    </xdr:to>
    <mc:AlternateContent xmlns:mc="http://schemas.openxmlformats.org/markup-compatibility/2006">
      <mc:Choice xmlns:a14="http://schemas.microsoft.com/office/drawing/2010/main" Requires="a14">
        <xdr:graphicFrame macro="">
          <xdr:nvGraphicFramePr>
            <xdr:cNvPr id="2" name="Sales_Rep">
              <a:extLst>
                <a:ext uri="{FF2B5EF4-FFF2-40B4-BE49-F238E27FC236}">
                  <a16:creationId xmlns:a16="http://schemas.microsoft.com/office/drawing/2014/main" id="{D52B3260-9E94-4E6D-BF87-D4D93373758A}"/>
                </a:ext>
              </a:extLst>
            </xdr:cNvPr>
            <xdr:cNvGraphicFramePr/>
          </xdr:nvGraphicFramePr>
          <xdr:xfrm>
            <a:off x="0" y="0"/>
            <a:ext cx="0" cy="0"/>
          </xdr:xfrm>
          <a:graphic>
            <a:graphicData uri="http://schemas.microsoft.com/office/drawing/2010/slicer">
              <sle:slicer xmlns:sle="http://schemas.microsoft.com/office/drawing/2010/slicer" name="Sales_Rep"/>
            </a:graphicData>
          </a:graphic>
        </xdr:graphicFrame>
      </mc:Choice>
      <mc:Fallback>
        <xdr:sp macro="" textlink="">
          <xdr:nvSpPr>
            <xdr:cNvPr id="0" name=""/>
            <xdr:cNvSpPr>
              <a:spLocks noTextEdit="1"/>
            </xdr:cNvSpPr>
          </xdr:nvSpPr>
          <xdr:spPr>
            <a:xfrm>
              <a:off x="4067175" y="3657600"/>
              <a:ext cx="1638300" cy="20383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ishnu K" refreshedDate="46050.773061458334" createdVersion="6" refreshedVersion="6" minRefreshableVersion="3" recordCount="16" xr:uid="{926638CB-A046-49A4-AF9E-C3FDD0A3A2E8}">
  <cacheSource type="worksheet">
    <worksheetSource ref="A1:M18" sheet="Sheet1"/>
  </cacheSource>
  <cacheFields count="13">
    <cacheField name="Date" numFmtId="0">
      <sharedItems/>
    </cacheField>
    <cacheField name="Region" numFmtId="0">
      <sharedItems/>
    </cacheField>
    <cacheField name="Sales_Rep" numFmtId="0">
      <sharedItems count="16">
        <s v="John Smith"/>
        <s v="Emma Johnson"/>
        <s v="Michael Chen"/>
        <s v="Sarah Williams"/>
        <s v="David Lee"/>
        <s v="Lisa Brown"/>
        <s v="Robert Taylor"/>
        <s v="Maria Garcia"/>
        <s v="James Wilson"/>
        <s v="Patricia Moore"/>
        <s v="William Clark"/>
        <s v="Jennifer Lewis"/>
        <s v="Charles Robinson"/>
        <s v="Karen Walker"/>
        <s v="Daniel Young"/>
        <s v="Susan King"/>
      </sharedItems>
    </cacheField>
    <cacheField name="Product" numFmtId="0">
      <sharedItems count="15">
        <s v="Laptop"/>
        <s v="Desk Chair"/>
        <s v="Notebook"/>
        <s v="Monitor"/>
        <s v="Coffee Mug"/>
        <s v="Keyboard"/>
        <s v="Desk Lamp"/>
        <s v="Stapler"/>
        <s v="Headphones"/>
        <s v="Office Chair"/>
        <s v="Mouse"/>
        <s v="Pen Set"/>
        <s v="Coffee Maker"/>
        <s v="Tablet"/>
        <s v="File Cabinet"/>
      </sharedItems>
    </cacheField>
    <cacheField name="Units_Sold" numFmtId="0">
      <sharedItems containsSemiMixedTypes="0" containsString="0" containsNumber="1" containsInteger="1" minValue="7" maxValue="200"/>
    </cacheField>
    <cacheField name="Unit_Price" numFmtId="0">
      <sharedItems containsSemiMixedTypes="0" containsString="0" containsNumber="1" minValue="2.99" maxValue="899.99"/>
    </cacheField>
    <cacheField name="Cost_Per_Unit" numFmtId="0">
      <sharedItems containsSemiMixedTypes="0" containsString="0" containsNumber="1" minValue="1.2" maxValue="650"/>
    </cacheField>
    <cacheField name="Category" numFmtId="0">
      <sharedItems/>
    </cacheField>
    <cacheField name="Customer_Rating" numFmtId="0">
      <sharedItems containsSemiMixedTypes="0" containsString="0" containsNumber="1" minValue="3.7" maxValue="4.8"/>
    </cacheField>
    <cacheField name="Payment_Method" numFmtId="0">
      <sharedItems/>
    </cacheField>
    <cacheField name="First Name" numFmtId="0">
      <sharedItems/>
    </cacheField>
    <cacheField name="Last Name" numFmtId="0">
      <sharedItems/>
    </cacheField>
    <cacheField name="Unit Sales Status" numFmtId="0">
      <sharedItems count="2">
        <s v="Bad Sales"/>
        <s v="Good Sales"/>
      </sharedItems>
    </cacheField>
  </cacheFields>
  <extLst>
    <ext xmlns:x14="http://schemas.microsoft.com/office/spreadsheetml/2009/9/main" uri="{725AE2AE-9491-48be-B2B4-4EB974FC3084}">
      <x14:pivotCacheDefinition pivotCacheId="200926824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ishnu K" refreshedDate="46050.901645138889" createdVersion="6" refreshedVersion="6" minRefreshableVersion="3" recordCount="16" xr:uid="{6A919CFB-AF86-4E63-95BE-1CB5B493DC86}">
  <cacheSource type="worksheet">
    <worksheetSource ref="A1:M17" sheet="Sheet3"/>
  </cacheSource>
  <cacheFields count="13">
    <cacheField name="Date" numFmtId="0">
      <sharedItems/>
    </cacheField>
    <cacheField name="Region" numFmtId="0">
      <sharedItems/>
    </cacheField>
    <cacheField name="Sales_Rep" numFmtId="0">
      <sharedItems/>
    </cacheField>
    <cacheField name="Product" numFmtId="0">
      <sharedItems/>
    </cacheField>
    <cacheField name="Units_Sold" numFmtId="0">
      <sharedItems containsSemiMixedTypes="0" containsString="0" containsNumber="1" containsInteger="1" minValue="7" maxValue="200"/>
    </cacheField>
    <cacheField name="Unit_Price" numFmtId="0">
      <sharedItems containsSemiMixedTypes="0" containsString="0" containsNumber="1" minValue="2.99" maxValue="899.99"/>
    </cacheField>
    <cacheField name="Cost_Per_Unit" numFmtId="0">
      <sharedItems containsSemiMixedTypes="0" containsString="0" containsNumber="1" minValue="1.2" maxValue="650"/>
    </cacheField>
    <cacheField name="Category" numFmtId="0">
      <sharedItems/>
    </cacheField>
    <cacheField name="Customer_Rating" numFmtId="0">
      <sharedItems containsSemiMixedTypes="0" containsString="0" containsNumber="1" minValue="3.7" maxValue="4.8"/>
    </cacheField>
    <cacheField name="Payment_Method" numFmtId="0">
      <sharedItems count="3">
        <s v="Credit Card"/>
        <s v="PayPal"/>
        <s v="Cash"/>
      </sharedItems>
    </cacheField>
    <cacheField name="First Name" numFmtId="0">
      <sharedItems/>
    </cacheField>
    <cacheField name="Last Name" numFmtId="0">
      <sharedItems/>
    </cacheField>
    <cacheField name="status of unit sold"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
  <r>
    <s v="2024-01-15"/>
    <s v="North"/>
    <x v="0"/>
    <x v="0"/>
    <n v="12"/>
    <n v="899.99"/>
    <n v="650"/>
    <s v="Electronics"/>
    <n v="4.5"/>
    <s v="Credit Card"/>
    <s v="John"/>
    <s v="Smith"/>
    <x v="0"/>
  </r>
  <r>
    <s v="2024-01-15"/>
    <s v="South"/>
    <x v="1"/>
    <x v="1"/>
    <n v="25"/>
    <n v="149.99"/>
    <n v="90"/>
    <s v="Furniture"/>
    <n v="4.2"/>
    <s v="PayPal"/>
    <s v="Emma"/>
    <s v="Johnson"/>
    <x v="1"/>
  </r>
  <r>
    <s v="2024-01-16"/>
    <s v="East"/>
    <x v="2"/>
    <x v="2"/>
    <n v="150"/>
    <n v="2.99"/>
    <n v="1.2"/>
    <s v="Office Supplies"/>
    <n v="3.8"/>
    <s v="Cash"/>
    <s v="Michael"/>
    <s v="Chen"/>
    <x v="1"/>
  </r>
  <r>
    <s v="2024-01-16"/>
    <s v="West"/>
    <x v="3"/>
    <x v="3"/>
    <n v="8"/>
    <n v="299.99"/>
    <n v="210"/>
    <s v="Electronics"/>
    <n v="4.7"/>
    <s v="Credit Card"/>
    <s v="Sarah"/>
    <s v="Williams"/>
    <x v="0"/>
  </r>
  <r>
    <s v="2024-01-17"/>
    <s v="North"/>
    <x v="4"/>
    <x v="4"/>
    <n v="45"/>
    <n v="12.99"/>
    <n v="4.5"/>
    <s v="Kitchen"/>
    <n v="4.0999999999999996"/>
    <s v="Cash"/>
    <s v="David"/>
    <s v="Lee"/>
    <x v="1"/>
  </r>
  <r>
    <s v="2024-01-17"/>
    <s v="South"/>
    <x v="5"/>
    <x v="5"/>
    <n v="18"/>
    <n v="49.99"/>
    <n v="32"/>
    <s v="Electronics"/>
    <n v="4.3"/>
    <s v="Credit Card"/>
    <s v="Lisa"/>
    <s v="Brown"/>
    <x v="0"/>
  </r>
  <r>
    <s v="2024-01-18"/>
    <s v="East"/>
    <x v="6"/>
    <x v="6"/>
    <n v="30"/>
    <n v="34.99"/>
    <n v="18"/>
    <s v="Furniture"/>
    <n v="4"/>
    <s v="PayPal"/>
    <s v="Robert"/>
    <s v="Taylor"/>
    <x v="1"/>
  </r>
  <r>
    <s v="2024-01-18"/>
    <s v="West"/>
    <x v="7"/>
    <x v="7"/>
    <n v="60"/>
    <n v="8.99"/>
    <n v="3.75"/>
    <s v="Office Supplies"/>
    <n v="3.9"/>
    <s v="Cash"/>
    <s v="Maria"/>
    <s v="Garcia"/>
    <x v="1"/>
  </r>
  <r>
    <s v="2024-01-19"/>
    <s v="North"/>
    <x v="8"/>
    <x v="8"/>
    <n v="22"/>
    <n v="79.989999999999995"/>
    <n v="45"/>
    <s v="Electronics"/>
    <n v="4.5999999999999996"/>
    <s v="Credit Card"/>
    <s v="James"/>
    <s v="Wilson"/>
    <x v="1"/>
  </r>
  <r>
    <s v="2024-01-19"/>
    <s v="South"/>
    <x v="9"/>
    <x v="2"/>
    <n v="200"/>
    <n v="2.99"/>
    <n v="1.2"/>
    <s v="Office Supplies"/>
    <n v="3.7"/>
    <s v="Cash"/>
    <s v="Patricia"/>
    <s v="Moore"/>
    <x v="1"/>
  </r>
  <r>
    <s v="2024-01-20"/>
    <s v="East"/>
    <x v="10"/>
    <x v="9"/>
    <n v="15"/>
    <n v="199.99"/>
    <n v="120"/>
    <s v="Furniture"/>
    <n v="4.4000000000000004"/>
    <s v="PayPal"/>
    <s v="William"/>
    <s v="Clark"/>
    <x v="0"/>
  </r>
  <r>
    <s v="2024-01-20"/>
    <s v="West"/>
    <x v="11"/>
    <x v="10"/>
    <n v="35"/>
    <n v="24.99"/>
    <n v="15"/>
    <s v="Electronics"/>
    <n v="4.2"/>
    <s v="Credit Card"/>
    <s v="Jennifer"/>
    <s v="Lewis"/>
    <x v="1"/>
  </r>
  <r>
    <s v="2024-01-21"/>
    <s v="North"/>
    <x v="12"/>
    <x v="11"/>
    <n v="85"/>
    <n v="6.99"/>
    <n v="2.8"/>
    <s v="Office Supplies"/>
    <n v="4"/>
    <s v="Cash"/>
    <s v="Charles"/>
    <s v="Robinson"/>
    <x v="1"/>
  </r>
  <r>
    <s v="2024-01-21"/>
    <s v="South"/>
    <x v="13"/>
    <x v="12"/>
    <n v="10"/>
    <n v="49.99"/>
    <n v="28"/>
    <s v="Kitchen"/>
    <n v="4.3"/>
    <s v="PayPal"/>
    <s v="Karen"/>
    <s v="Walker"/>
    <x v="0"/>
  </r>
  <r>
    <s v="2024-01-22"/>
    <s v="East"/>
    <x v="14"/>
    <x v="13"/>
    <n v="7"/>
    <n v="329.99"/>
    <n v="240"/>
    <s v="Electronics"/>
    <n v="4.8"/>
    <s v="Credit Card"/>
    <s v="Daniel"/>
    <s v="Young"/>
    <x v="0"/>
  </r>
  <r>
    <s v="2024-01-22"/>
    <s v="West"/>
    <x v="15"/>
    <x v="14"/>
    <n v="9"/>
    <n v="89.99"/>
    <n v="55"/>
    <s v="Furniture"/>
    <n v="4.0999999999999996"/>
    <s v="Credit Card"/>
    <s v="Susan"/>
    <s v="King"/>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
  <r>
    <s v="2024-01-15"/>
    <s v="North"/>
    <s v="John Smith"/>
    <s v="Laptop"/>
    <n v="12"/>
    <n v="899.99"/>
    <n v="650"/>
    <s v="Electronics"/>
    <n v="4.5"/>
    <x v="0"/>
    <s v="John"/>
    <s v="Smith"/>
    <s v="bad sales"/>
  </r>
  <r>
    <s v="2024-01-15"/>
    <s v="South"/>
    <s v="Emma Johnson"/>
    <s v="Desk Chair"/>
    <n v="25"/>
    <n v="149.99"/>
    <n v="90"/>
    <s v="Furniture"/>
    <n v="4.2"/>
    <x v="1"/>
    <s v="Emma"/>
    <s v="Johnson"/>
    <s v="good sales"/>
  </r>
  <r>
    <s v="2024-01-16"/>
    <s v="East"/>
    <s v="Michael Chen"/>
    <s v="Notebook"/>
    <n v="150"/>
    <n v="2.99"/>
    <n v="1.2"/>
    <s v="Office Supplies"/>
    <n v="3.8"/>
    <x v="2"/>
    <s v="Michael"/>
    <s v="Chen"/>
    <s v="good sales"/>
  </r>
  <r>
    <s v="2024-01-16"/>
    <s v="West"/>
    <s v="Sarah Williams"/>
    <s v="Monitor"/>
    <n v="8"/>
    <n v="299.99"/>
    <n v="210"/>
    <s v="Electronics"/>
    <n v="4.7"/>
    <x v="0"/>
    <s v="Sarah"/>
    <s v="Williams"/>
    <s v="bad sales"/>
  </r>
  <r>
    <s v="2024-01-17"/>
    <s v="North"/>
    <s v="David Lee"/>
    <s v="Coffee Mug"/>
    <n v="45"/>
    <n v="12.99"/>
    <n v="4.5"/>
    <s v="Kitchen"/>
    <n v="4.0999999999999996"/>
    <x v="2"/>
    <s v="David"/>
    <s v="Lee"/>
    <s v="good sales"/>
  </r>
  <r>
    <s v="2024-01-17"/>
    <s v="South"/>
    <s v="Lisa Brown"/>
    <s v="Keyboard"/>
    <n v="18"/>
    <n v="49.99"/>
    <n v="32"/>
    <s v="Electronics"/>
    <n v="4.3"/>
    <x v="0"/>
    <s v="Lisa"/>
    <s v="Brown"/>
    <s v="bad sales"/>
  </r>
  <r>
    <s v="2024-01-18"/>
    <s v="East"/>
    <s v="Robert Taylor"/>
    <s v="Desk Lamp"/>
    <n v="30"/>
    <n v="34.99"/>
    <n v="18"/>
    <s v="Furniture"/>
    <n v="4"/>
    <x v="1"/>
    <s v="Robert"/>
    <s v="Taylor"/>
    <s v="good sales"/>
  </r>
  <r>
    <s v="2024-01-18"/>
    <s v="West"/>
    <s v="Maria Garcia"/>
    <s v="Stapler"/>
    <n v="60"/>
    <n v="8.99"/>
    <n v="3.75"/>
    <s v="Office Supplies"/>
    <n v="3.9"/>
    <x v="2"/>
    <s v="Maria"/>
    <s v="Garcia"/>
    <s v="good sales"/>
  </r>
  <r>
    <s v="2024-01-19"/>
    <s v="North"/>
    <s v="James Wilson"/>
    <s v="Headphones"/>
    <n v="22"/>
    <n v="79.989999999999995"/>
    <n v="45"/>
    <s v="Electronics"/>
    <n v="4.5999999999999996"/>
    <x v="0"/>
    <s v="James"/>
    <s v="Wilson"/>
    <s v="good sales"/>
  </r>
  <r>
    <s v="2024-01-19"/>
    <s v="South"/>
    <s v="Patricia Moore"/>
    <s v="Notebook"/>
    <n v="200"/>
    <n v="2.99"/>
    <n v="1.2"/>
    <s v="Office Supplies"/>
    <n v="3.7"/>
    <x v="2"/>
    <s v="Patricia"/>
    <s v="Moore"/>
    <s v="good sales"/>
  </r>
  <r>
    <s v="2024-01-20"/>
    <s v="East"/>
    <s v="William Clark"/>
    <s v="Office Chair"/>
    <n v="15"/>
    <n v="199.99"/>
    <n v="120"/>
    <s v="Furniture"/>
    <n v="4.4000000000000004"/>
    <x v="1"/>
    <s v="William"/>
    <s v="Clark"/>
    <s v="bad sales"/>
  </r>
  <r>
    <s v="2024-01-20"/>
    <s v="West"/>
    <s v="Jennifer Lewis"/>
    <s v="Mouse"/>
    <n v="35"/>
    <n v="24.99"/>
    <n v="15"/>
    <s v="Electronics"/>
    <n v="4.2"/>
    <x v="0"/>
    <s v="Jennifer"/>
    <s v="Lewis"/>
    <s v="good sales"/>
  </r>
  <r>
    <s v="2024-01-21"/>
    <s v="North"/>
    <s v="Charles Robinson"/>
    <s v="Pen Set"/>
    <n v="85"/>
    <n v="6.99"/>
    <n v="2.8"/>
    <s v="Office Supplies"/>
    <n v="4"/>
    <x v="2"/>
    <s v="Charles"/>
    <s v="Robinson"/>
    <s v="good sales"/>
  </r>
  <r>
    <s v="2024-01-21"/>
    <s v="South"/>
    <s v="Karen Walker"/>
    <s v="Coffee Maker"/>
    <n v="10"/>
    <n v="49.99"/>
    <n v="28"/>
    <s v="Kitchen"/>
    <n v="4.3"/>
    <x v="1"/>
    <s v="Karen"/>
    <s v="Walker"/>
    <s v="bad sales"/>
  </r>
  <r>
    <s v="2024-01-22"/>
    <s v="East"/>
    <s v="Daniel Young"/>
    <s v="Tablet"/>
    <n v="7"/>
    <n v="329.99"/>
    <n v="240"/>
    <s v="Electronics"/>
    <n v="4.8"/>
    <x v="0"/>
    <s v="Daniel"/>
    <s v="Young"/>
    <s v="bad sales"/>
  </r>
  <r>
    <s v="2024-01-22"/>
    <s v="West"/>
    <s v="Susan King"/>
    <s v="File Cabinet"/>
    <n v="9"/>
    <n v="89.99"/>
    <n v="55"/>
    <s v="Furniture"/>
    <n v="4.0999999999999996"/>
    <x v="0"/>
    <s v="Susan"/>
    <s v="King"/>
    <s v="bad sale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15183D6-17BE-4F9E-A3F2-431DBA2147AF}" name="PivotTable2" cacheId="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C54:D58" firstHeaderRow="1" firstDataRow="1" firstDataCol="1"/>
  <pivotFields count="13">
    <pivotField showAll="0"/>
    <pivotField showAll="0"/>
    <pivotField showAll="0"/>
    <pivotField showAll="0"/>
    <pivotField showAll="0"/>
    <pivotField showAll="0"/>
    <pivotField showAll="0"/>
    <pivotField showAll="0"/>
    <pivotField showAll="0"/>
    <pivotField axis="axisRow" dataField="1" showAll="0">
      <items count="4">
        <item x="2"/>
        <item x="0"/>
        <item x="1"/>
        <item t="default"/>
      </items>
    </pivotField>
    <pivotField showAll="0"/>
    <pivotField showAll="0"/>
    <pivotField showAll="0"/>
  </pivotFields>
  <rowFields count="1">
    <field x="9"/>
  </rowFields>
  <rowItems count="4">
    <i>
      <x/>
    </i>
    <i>
      <x v="1"/>
    </i>
    <i>
      <x v="2"/>
    </i>
    <i t="grand">
      <x/>
    </i>
  </rowItems>
  <colItems count="1">
    <i/>
  </colItems>
  <dataFields count="1">
    <dataField name="Count of Payment_Method" fld="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D1DC2F3-77D2-4951-B727-CE73F0D9F8AC}" name="PivotTable1"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H21:I27" firstHeaderRow="1" firstDataRow="1" firstDataCol="1"/>
  <pivotFields count="13">
    <pivotField showAll="0"/>
    <pivotField showAll="0"/>
    <pivotField showAll="0">
      <items count="17">
        <item h="1" x="12"/>
        <item h="1" x="14"/>
        <item h="1" x="4"/>
        <item h="1" x="1"/>
        <item h="1" x="8"/>
        <item h="1" x="11"/>
        <item h="1" x="0"/>
        <item h="1" x="13"/>
        <item h="1" x="5"/>
        <item h="1" x="7"/>
        <item x="2"/>
        <item h="1" x="9"/>
        <item x="6"/>
        <item x="3"/>
        <item h="1" x="15"/>
        <item h="1" x="10"/>
        <item t="default"/>
      </items>
    </pivotField>
    <pivotField axis="axisRow" showAll="0">
      <items count="16">
        <item x="12"/>
        <item x="4"/>
        <item x="1"/>
        <item x="6"/>
        <item x="14"/>
        <item x="8"/>
        <item x="5"/>
        <item x="0"/>
        <item x="3"/>
        <item x="10"/>
        <item x="2"/>
        <item x="9"/>
        <item x="11"/>
        <item x="7"/>
        <item x="13"/>
        <item t="default"/>
      </items>
    </pivotField>
    <pivotField dataField="1" showAll="0"/>
    <pivotField showAll="0"/>
    <pivotField showAll="0"/>
    <pivotField showAll="0"/>
    <pivotField showAll="0"/>
    <pivotField showAll="0"/>
    <pivotField showAll="0"/>
    <pivotField showAll="0"/>
    <pivotField axis="axisRow" showAll="0">
      <items count="3">
        <item x="0"/>
        <item x="1"/>
        <item t="default"/>
      </items>
    </pivotField>
  </pivotFields>
  <rowFields count="2">
    <field x="12"/>
    <field x="3"/>
  </rowFields>
  <rowItems count="6">
    <i>
      <x/>
    </i>
    <i r="1">
      <x v="8"/>
    </i>
    <i>
      <x v="1"/>
    </i>
    <i r="1">
      <x v="3"/>
    </i>
    <i r="1">
      <x v="10"/>
    </i>
    <i t="grand">
      <x/>
    </i>
  </rowItems>
  <colItems count="1">
    <i/>
  </colItems>
  <dataFields count="1">
    <dataField name="Sum of Units_Sold" fld="4" baseField="0" baseItem="0"/>
  </dataField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Rep" xr10:uid="{A354A662-05C7-4F2E-93A3-D0A93063760A}" sourceName="Sales_Rep">
  <pivotTables>
    <pivotTable tabId="1" name="PivotTable1"/>
  </pivotTables>
  <data>
    <tabular pivotCacheId="2009268242">
      <items count="16">
        <i x="12"/>
        <i x="14"/>
        <i x="4"/>
        <i x="1"/>
        <i x="8"/>
        <i x="11"/>
        <i x="0"/>
        <i x="13"/>
        <i x="5"/>
        <i x="7"/>
        <i x="2" s="1"/>
        <i x="9"/>
        <i x="6" s="1"/>
        <i x="3" s="1"/>
        <i x="15"/>
        <i x="1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_Rep" xr10:uid="{C5889792-7724-4552-ABDB-2035D4F6AADB}" cache="Slicer_Sales_Rep" caption="Sales_Rep" startItem="9" style="SlicerStyleDark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5548BD4-E13C-47E3-9DA8-8B26D14D4D15}" name="Table1" displayName="Table1" ref="A1:M19" totalsRowCount="1" headerRowDxfId="17" dataDxfId="18" headerRowBorderDxfId="32" tableBorderDxfId="33" totalsRowBorderDxfId="31">
  <autoFilter ref="A1:M18" xr:uid="{74E497C1-B24F-4788-8BA4-3C679F7C192B}"/>
  <tableColumns count="13">
    <tableColumn id="1" xr3:uid="{07A61DDE-DB42-4A77-A209-0CBE4ED56B01}" name="Date" dataDxfId="30" totalsRowDxfId="15"/>
    <tableColumn id="2" xr3:uid="{6ACBA86A-88D7-4762-914B-C9B7330B4C9D}" name="Region" dataDxfId="29" totalsRowDxfId="14"/>
    <tableColumn id="3" xr3:uid="{3481B779-2D2E-4EAB-AA95-AB7711163FE8}" name="Sales_Rep" dataDxfId="28" totalsRowDxfId="13"/>
    <tableColumn id="4" xr3:uid="{D0A99150-9292-4B5F-B35D-C43DB4415673}" name="Product" dataDxfId="27" totalsRowDxfId="12"/>
    <tableColumn id="5" xr3:uid="{98AD72EF-5795-45EE-90CB-C4DE2C5B0756}" name="Units_Sold" totalsRowFunction="custom" dataDxfId="26" totalsRowDxfId="11">
      <totalsRowFormula>SUMIF($M$2:$M$18,"Good Sales",$E$2:$E$18)</totalsRowFormula>
    </tableColumn>
    <tableColumn id="6" xr3:uid="{49DF71D6-8E18-42F7-A201-A821806285A6}" name="Unit_Price" dataDxfId="25" totalsRowDxfId="10"/>
    <tableColumn id="7" xr3:uid="{11295C35-370D-4394-8F87-65021894CEC5}" name="Cost_Per_Unit" dataDxfId="24" totalsRowDxfId="9"/>
    <tableColumn id="8" xr3:uid="{2C2D099F-2009-42C8-A7DA-0600CC7E14BD}" name="Category" dataDxfId="23" totalsRowDxfId="8"/>
    <tableColumn id="9" xr3:uid="{47BB907E-73BA-402F-B469-EE9D70F5F911}" name="Customer_Rating" totalsRowFunction="custom" dataDxfId="22" totalsRowDxfId="7">
      <totalsRowFormula>ROUND(AVERAGE(I2:I18),1)</totalsRowFormula>
    </tableColumn>
    <tableColumn id="10" xr3:uid="{C62DEF93-20EC-4E3B-8E8D-0E279E7E2207}" name="Payment_Method" dataDxfId="21" totalsRowDxfId="6"/>
    <tableColumn id="11" xr3:uid="{22514829-6A0B-49A3-9562-E8E2107311EB}" name="First Name" dataDxfId="20" totalsRowDxfId="5"/>
    <tableColumn id="12" xr3:uid="{9C30CFAD-A7C2-4C82-908D-9E0D08EAF8BB}" name="Last Name" dataDxfId="19" totalsRowDxfId="4"/>
    <tableColumn id="13" xr3:uid="{B3FB6A4F-A723-4E34-AE15-3853F09F6842}" name="Unit Sales Status" dataDxfId="16" totalsRowDxfId="3">
      <calculatedColumnFormula>#REF!=IF(E2&gt;=20,"Good Sales","Bad Sales")</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2.xml"/><Relationship Id="rId5" Type="http://schemas.microsoft.com/office/2007/relationships/slicer" Target="../slicers/slicer1.xm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CE01C2-5846-42B9-AFD5-22613A27133C}">
  <sheetPr codeName="Sheet2"/>
  <dimension ref="A1:O58"/>
  <sheetViews>
    <sheetView tabSelected="1" workbookViewId="0">
      <selection activeCell="C54" sqref="C54"/>
    </sheetView>
  </sheetViews>
  <sheetFormatPr defaultRowHeight="15" x14ac:dyDescent="0.25"/>
  <cols>
    <col min="1" max="1" width="10.42578125" bestFit="1" customWidth="1"/>
    <col min="2" max="2" width="11.7109375" bestFit="1" customWidth="1"/>
    <col min="3" max="3" width="13.140625" bestFit="1" customWidth="1"/>
    <col min="4" max="4" width="25.5703125" bestFit="1" customWidth="1"/>
    <col min="5" max="5" width="15.140625" bestFit="1" customWidth="1"/>
    <col min="6" max="6" width="14.85546875" bestFit="1" customWidth="1"/>
    <col min="7" max="7" width="26.7109375" bestFit="1" customWidth="1"/>
    <col min="8" max="8" width="14.5703125" bestFit="1" customWidth="1"/>
    <col min="9" max="9" width="20.85546875" bestFit="1" customWidth="1"/>
    <col min="10" max="10" width="21.85546875" bestFit="1" customWidth="1"/>
    <col min="11" max="11" width="17.28515625" bestFit="1" customWidth="1"/>
    <col min="12" max="12" width="14.7109375" bestFit="1" customWidth="1"/>
    <col min="13" max="13" width="21.42578125" bestFit="1" customWidth="1"/>
    <col min="14" max="14" width="16.85546875" bestFit="1" customWidth="1"/>
    <col min="15" max="15" width="28.28515625" bestFit="1" customWidth="1"/>
  </cols>
  <sheetData>
    <row r="1" spans="1:13" x14ac:dyDescent="0.25">
      <c r="A1" s="1" t="s">
        <v>0</v>
      </c>
      <c r="B1" s="1" t="s">
        <v>1</v>
      </c>
      <c r="C1" s="1" t="s">
        <v>2</v>
      </c>
      <c r="D1" s="1" t="s">
        <v>3</v>
      </c>
      <c r="E1" s="1" t="s">
        <v>4</v>
      </c>
      <c r="F1" s="1" t="s">
        <v>5</v>
      </c>
      <c r="G1" s="1" t="s">
        <v>6</v>
      </c>
      <c r="H1" s="1" t="s">
        <v>7</v>
      </c>
      <c r="I1" s="1" t="s">
        <v>8</v>
      </c>
      <c r="J1" s="1" t="s">
        <v>9</v>
      </c>
      <c r="K1" s="4" t="s">
        <v>60</v>
      </c>
      <c r="L1" s="4" t="s">
        <v>61</v>
      </c>
      <c r="M1" s="4" t="s">
        <v>104</v>
      </c>
    </row>
    <row r="2" spans="1:13" x14ac:dyDescent="0.25">
      <c r="A2" s="2" t="s">
        <v>10</v>
      </c>
      <c r="B2" s="2" t="s">
        <v>18</v>
      </c>
      <c r="C2" s="2" t="s">
        <v>22</v>
      </c>
      <c r="D2" s="2" t="s">
        <v>38</v>
      </c>
      <c r="E2" s="2">
        <v>12</v>
      </c>
      <c r="F2" s="2">
        <v>899.99</v>
      </c>
      <c r="G2" s="2">
        <v>650</v>
      </c>
      <c r="H2" s="2" t="s">
        <v>53</v>
      </c>
      <c r="I2" s="2">
        <v>4.5</v>
      </c>
      <c r="J2" s="5" t="s">
        <v>57</v>
      </c>
      <c r="K2" s="7" t="s">
        <v>62</v>
      </c>
      <c r="L2" s="7" t="s">
        <v>63</v>
      </c>
      <c r="M2" t="str">
        <f>IF(E2&gt;20,"good sales","bad sales")</f>
        <v>bad sales</v>
      </c>
    </row>
    <row r="3" spans="1:13" x14ac:dyDescent="0.25">
      <c r="A3" s="3" t="s">
        <v>10</v>
      </c>
      <c r="B3" s="3" t="s">
        <v>19</v>
      </c>
      <c r="C3" s="3" t="s">
        <v>23</v>
      </c>
      <c r="D3" s="3" t="s">
        <v>39</v>
      </c>
      <c r="E3" s="3">
        <v>25</v>
      </c>
      <c r="F3" s="3">
        <v>149.99</v>
      </c>
      <c r="G3" s="3">
        <v>90</v>
      </c>
      <c r="H3" s="3" t="s">
        <v>54</v>
      </c>
      <c r="I3" s="3">
        <v>4.2</v>
      </c>
      <c r="J3" s="6" t="s">
        <v>58</v>
      </c>
      <c r="K3" s="7" t="s">
        <v>64</v>
      </c>
      <c r="L3" s="7" t="s">
        <v>65</v>
      </c>
      <c r="M3" t="str">
        <f t="shared" ref="M3:M17" si="0">IF(E3&gt;20,"good sales","bad sales")</f>
        <v>good sales</v>
      </c>
    </row>
    <row r="4" spans="1:13" x14ac:dyDescent="0.25">
      <c r="A4" s="3" t="s">
        <v>11</v>
      </c>
      <c r="B4" s="3" t="s">
        <v>20</v>
      </c>
      <c r="C4" s="3" t="s">
        <v>24</v>
      </c>
      <c r="D4" s="3" t="s">
        <v>40</v>
      </c>
      <c r="E4" s="3">
        <v>150</v>
      </c>
      <c r="F4" s="3">
        <v>2.99</v>
      </c>
      <c r="G4" s="3">
        <v>1.2</v>
      </c>
      <c r="H4" s="3" t="s">
        <v>55</v>
      </c>
      <c r="I4" s="3">
        <v>3.8</v>
      </c>
      <c r="J4" s="6" t="s">
        <v>59</v>
      </c>
      <c r="K4" s="7" t="s">
        <v>66</v>
      </c>
      <c r="L4" s="7" t="s">
        <v>67</v>
      </c>
      <c r="M4" t="str">
        <f t="shared" si="0"/>
        <v>good sales</v>
      </c>
    </row>
    <row r="5" spans="1:13" x14ac:dyDescent="0.25">
      <c r="A5" s="3" t="s">
        <v>11</v>
      </c>
      <c r="B5" s="3" t="s">
        <v>21</v>
      </c>
      <c r="C5" s="3" t="s">
        <v>25</v>
      </c>
      <c r="D5" s="3" t="s">
        <v>41</v>
      </c>
      <c r="E5" s="3">
        <v>8</v>
      </c>
      <c r="F5" s="3">
        <v>299.99</v>
      </c>
      <c r="G5" s="3">
        <v>210</v>
      </c>
      <c r="H5" s="3" t="s">
        <v>53</v>
      </c>
      <c r="I5" s="3">
        <v>4.7</v>
      </c>
      <c r="J5" s="6" t="s">
        <v>57</v>
      </c>
      <c r="K5" s="7" t="s">
        <v>68</v>
      </c>
      <c r="L5" s="7" t="s">
        <v>69</v>
      </c>
      <c r="M5" t="str">
        <f t="shared" si="0"/>
        <v>bad sales</v>
      </c>
    </row>
    <row r="6" spans="1:13" x14ac:dyDescent="0.25">
      <c r="A6" s="3" t="s">
        <v>12</v>
      </c>
      <c r="B6" s="3" t="s">
        <v>18</v>
      </c>
      <c r="C6" s="3" t="s">
        <v>26</v>
      </c>
      <c r="D6" s="3" t="s">
        <v>42</v>
      </c>
      <c r="E6" s="3">
        <v>45</v>
      </c>
      <c r="F6" s="3">
        <v>12.99</v>
      </c>
      <c r="G6" s="3">
        <v>4.5</v>
      </c>
      <c r="H6" s="3" t="s">
        <v>56</v>
      </c>
      <c r="I6" s="3">
        <v>4.0999999999999996</v>
      </c>
      <c r="J6" s="6" t="s">
        <v>59</v>
      </c>
      <c r="K6" s="7" t="s">
        <v>70</v>
      </c>
      <c r="L6" s="7" t="s">
        <v>71</v>
      </c>
      <c r="M6" t="str">
        <f t="shared" si="0"/>
        <v>good sales</v>
      </c>
    </row>
    <row r="7" spans="1:13" x14ac:dyDescent="0.25">
      <c r="A7" s="3" t="s">
        <v>12</v>
      </c>
      <c r="B7" s="3" t="s">
        <v>19</v>
      </c>
      <c r="C7" s="3" t="s">
        <v>27</v>
      </c>
      <c r="D7" s="3" t="s">
        <v>43</v>
      </c>
      <c r="E7" s="3">
        <v>18</v>
      </c>
      <c r="F7" s="3">
        <v>49.99</v>
      </c>
      <c r="G7" s="3">
        <v>32</v>
      </c>
      <c r="H7" s="3" t="s">
        <v>53</v>
      </c>
      <c r="I7" s="3">
        <v>4.3</v>
      </c>
      <c r="J7" s="6" t="s">
        <v>57</v>
      </c>
      <c r="K7" s="7" t="s">
        <v>72</v>
      </c>
      <c r="L7" s="7" t="s">
        <v>73</v>
      </c>
      <c r="M7" t="str">
        <f t="shared" si="0"/>
        <v>bad sales</v>
      </c>
    </row>
    <row r="8" spans="1:13" x14ac:dyDescent="0.25">
      <c r="A8" s="3" t="s">
        <v>13</v>
      </c>
      <c r="B8" s="3" t="s">
        <v>20</v>
      </c>
      <c r="C8" s="3" t="s">
        <v>28</v>
      </c>
      <c r="D8" s="3" t="s">
        <v>44</v>
      </c>
      <c r="E8" s="3">
        <v>30</v>
      </c>
      <c r="F8" s="3">
        <v>34.99</v>
      </c>
      <c r="G8" s="3">
        <v>18</v>
      </c>
      <c r="H8" s="3" t="s">
        <v>54</v>
      </c>
      <c r="I8" s="3">
        <v>4</v>
      </c>
      <c r="J8" s="6" t="s">
        <v>58</v>
      </c>
      <c r="K8" s="7" t="s">
        <v>74</v>
      </c>
      <c r="L8" s="7" t="s">
        <v>75</v>
      </c>
      <c r="M8" t="str">
        <f t="shared" si="0"/>
        <v>good sales</v>
      </c>
    </row>
    <row r="9" spans="1:13" x14ac:dyDescent="0.25">
      <c r="A9" s="3" t="s">
        <v>13</v>
      </c>
      <c r="B9" s="3" t="s">
        <v>21</v>
      </c>
      <c r="C9" s="3" t="s">
        <v>29</v>
      </c>
      <c r="D9" s="3" t="s">
        <v>45</v>
      </c>
      <c r="E9" s="3">
        <v>60</v>
      </c>
      <c r="F9" s="3">
        <v>8.99</v>
      </c>
      <c r="G9" s="3">
        <v>3.75</v>
      </c>
      <c r="H9" s="3" t="s">
        <v>55</v>
      </c>
      <c r="I9" s="3">
        <v>3.9</v>
      </c>
      <c r="J9" s="6" t="s">
        <v>59</v>
      </c>
      <c r="K9" s="7" t="s">
        <v>76</v>
      </c>
      <c r="L9" s="7" t="s">
        <v>77</v>
      </c>
      <c r="M9" t="str">
        <f t="shared" si="0"/>
        <v>good sales</v>
      </c>
    </row>
    <row r="10" spans="1:13" x14ac:dyDescent="0.25">
      <c r="A10" s="3" t="s">
        <v>14</v>
      </c>
      <c r="B10" s="3" t="s">
        <v>18</v>
      </c>
      <c r="C10" s="3" t="s">
        <v>30</v>
      </c>
      <c r="D10" s="3" t="s">
        <v>46</v>
      </c>
      <c r="E10" s="3">
        <v>22</v>
      </c>
      <c r="F10" s="3">
        <v>79.989999999999995</v>
      </c>
      <c r="G10" s="3">
        <v>45</v>
      </c>
      <c r="H10" s="3" t="s">
        <v>53</v>
      </c>
      <c r="I10" s="3">
        <v>4.5999999999999996</v>
      </c>
      <c r="J10" s="6" t="s">
        <v>57</v>
      </c>
      <c r="K10" s="7" t="s">
        <v>78</v>
      </c>
      <c r="L10" s="7" t="s">
        <v>79</v>
      </c>
      <c r="M10" t="str">
        <f t="shared" si="0"/>
        <v>good sales</v>
      </c>
    </row>
    <row r="11" spans="1:13" x14ac:dyDescent="0.25">
      <c r="A11" s="3" t="s">
        <v>14</v>
      </c>
      <c r="B11" s="3" t="s">
        <v>19</v>
      </c>
      <c r="C11" s="3" t="s">
        <v>31</v>
      </c>
      <c r="D11" s="3" t="s">
        <v>40</v>
      </c>
      <c r="E11" s="3">
        <v>200</v>
      </c>
      <c r="F11" s="3">
        <v>2.99</v>
      </c>
      <c r="G11" s="3">
        <v>1.2</v>
      </c>
      <c r="H11" s="3" t="s">
        <v>55</v>
      </c>
      <c r="I11" s="3">
        <v>3.7</v>
      </c>
      <c r="J11" s="6" t="s">
        <v>59</v>
      </c>
      <c r="K11" s="7" t="s">
        <v>80</v>
      </c>
      <c r="L11" s="7" t="s">
        <v>81</v>
      </c>
      <c r="M11" t="str">
        <f t="shared" si="0"/>
        <v>good sales</v>
      </c>
    </row>
    <row r="12" spans="1:13" x14ac:dyDescent="0.25">
      <c r="A12" s="3" t="s">
        <v>15</v>
      </c>
      <c r="B12" s="3" t="s">
        <v>20</v>
      </c>
      <c r="C12" s="3" t="s">
        <v>32</v>
      </c>
      <c r="D12" s="3" t="s">
        <v>47</v>
      </c>
      <c r="E12" s="3">
        <v>15</v>
      </c>
      <c r="F12" s="3">
        <v>199.99</v>
      </c>
      <c r="G12" s="3">
        <v>120</v>
      </c>
      <c r="H12" s="3" t="s">
        <v>54</v>
      </c>
      <c r="I12" s="3">
        <v>4.4000000000000004</v>
      </c>
      <c r="J12" s="6" t="s">
        <v>58</v>
      </c>
      <c r="K12" s="7" t="s">
        <v>82</v>
      </c>
      <c r="L12" s="7" t="s">
        <v>83</v>
      </c>
      <c r="M12" t="str">
        <f t="shared" si="0"/>
        <v>bad sales</v>
      </c>
    </row>
    <row r="13" spans="1:13" x14ac:dyDescent="0.25">
      <c r="A13" s="3" t="s">
        <v>15</v>
      </c>
      <c r="B13" s="3" t="s">
        <v>21</v>
      </c>
      <c r="C13" s="3" t="s">
        <v>33</v>
      </c>
      <c r="D13" s="3" t="s">
        <v>48</v>
      </c>
      <c r="E13" s="3">
        <v>35</v>
      </c>
      <c r="F13" s="3">
        <v>24.99</v>
      </c>
      <c r="G13" s="3">
        <v>15</v>
      </c>
      <c r="H13" s="3" t="s">
        <v>53</v>
      </c>
      <c r="I13" s="3">
        <v>4.2</v>
      </c>
      <c r="J13" s="6" t="s">
        <v>57</v>
      </c>
      <c r="K13" s="7" t="s">
        <v>84</v>
      </c>
      <c r="L13" s="7" t="s">
        <v>85</v>
      </c>
      <c r="M13" t="str">
        <f t="shared" si="0"/>
        <v>good sales</v>
      </c>
    </row>
    <row r="14" spans="1:13" x14ac:dyDescent="0.25">
      <c r="A14" s="3" t="s">
        <v>16</v>
      </c>
      <c r="B14" s="3" t="s">
        <v>18</v>
      </c>
      <c r="C14" s="3" t="s">
        <v>34</v>
      </c>
      <c r="D14" s="3" t="s">
        <v>49</v>
      </c>
      <c r="E14" s="3">
        <v>85</v>
      </c>
      <c r="F14" s="3">
        <v>6.99</v>
      </c>
      <c r="G14" s="3">
        <v>2.8</v>
      </c>
      <c r="H14" s="3" t="s">
        <v>55</v>
      </c>
      <c r="I14" s="3">
        <v>4</v>
      </c>
      <c r="J14" s="6" t="s">
        <v>59</v>
      </c>
      <c r="K14" s="7" t="s">
        <v>86</v>
      </c>
      <c r="L14" s="7" t="s">
        <v>87</v>
      </c>
      <c r="M14" t="str">
        <f t="shared" si="0"/>
        <v>good sales</v>
      </c>
    </row>
    <row r="15" spans="1:13" x14ac:dyDescent="0.25">
      <c r="A15" s="3" t="s">
        <v>16</v>
      </c>
      <c r="B15" s="3" t="s">
        <v>19</v>
      </c>
      <c r="C15" s="3" t="s">
        <v>35</v>
      </c>
      <c r="D15" s="3" t="s">
        <v>50</v>
      </c>
      <c r="E15" s="3">
        <v>10</v>
      </c>
      <c r="F15" s="3">
        <v>49.99</v>
      </c>
      <c r="G15" s="3">
        <v>28</v>
      </c>
      <c r="H15" s="3" t="s">
        <v>56</v>
      </c>
      <c r="I15" s="3">
        <v>4.3</v>
      </c>
      <c r="J15" s="6" t="s">
        <v>58</v>
      </c>
      <c r="K15" s="7" t="s">
        <v>88</v>
      </c>
      <c r="L15" s="7" t="s">
        <v>89</v>
      </c>
      <c r="M15" t="str">
        <f t="shared" si="0"/>
        <v>bad sales</v>
      </c>
    </row>
    <row r="16" spans="1:13" x14ac:dyDescent="0.25">
      <c r="A16" s="3" t="s">
        <v>17</v>
      </c>
      <c r="B16" s="3" t="s">
        <v>20</v>
      </c>
      <c r="C16" s="3" t="s">
        <v>36</v>
      </c>
      <c r="D16" s="3" t="s">
        <v>51</v>
      </c>
      <c r="E16" s="3">
        <v>7</v>
      </c>
      <c r="F16" s="3">
        <v>329.99</v>
      </c>
      <c r="G16" s="3">
        <v>240</v>
      </c>
      <c r="H16" s="3" t="s">
        <v>53</v>
      </c>
      <c r="I16" s="3">
        <v>4.8</v>
      </c>
      <c r="J16" s="6" t="s">
        <v>57</v>
      </c>
      <c r="K16" s="7" t="s">
        <v>90</v>
      </c>
      <c r="L16" s="7" t="s">
        <v>91</v>
      </c>
      <c r="M16" t="str">
        <f t="shared" si="0"/>
        <v>bad sales</v>
      </c>
    </row>
    <row r="17" spans="1:15" x14ac:dyDescent="0.25">
      <c r="A17" s="3" t="s">
        <v>17</v>
      </c>
      <c r="B17" s="3" t="s">
        <v>21</v>
      </c>
      <c r="C17" s="3" t="s">
        <v>37</v>
      </c>
      <c r="D17" s="3" t="s">
        <v>52</v>
      </c>
      <c r="E17" s="3">
        <v>9</v>
      </c>
      <c r="F17" s="3">
        <v>89.99</v>
      </c>
      <c r="G17" s="3">
        <v>55</v>
      </c>
      <c r="H17" s="3" t="s">
        <v>54</v>
      </c>
      <c r="I17" s="3">
        <v>4.0999999999999996</v>
      </c>
      <c r="J17" s="6" t="s">
        <v>57</v>
      </c>
      <c r="K17" s="7" t="s">
        <v>92</v>
      </c>
      <c r="L17" s="7" t="s">
        <v>93</v>
      </c>
      <c r="M17" t="str">
        <f t="shared" si="0"/>
        <v>bad sales</v>
      </c>
    </row>
    <row r="19" spans="1:15" x14ac:dyDescent="0.25">
      <c r="D19" s="27" t="s">
        <v>113</v>
      </c>
      <c r="E19" s="26">
        <f>SUMIF(M2:M17,M6,E2:E17)</f>
        <v>652</v>
      </c>
      <c r="G19" s="26" t="s">
        <v>114</v>
      </c>
      <c r="H19" s="26">
        <f>SUMIF(H2:H17,H2,E2:E17)</f>
        <v>102</v>
      </c>
      <c r="J19" s="28" t="s">
        <v>115</v>
      </c>
      <c r="K19" s="26">
        <f>COUNTIF(J2:J17,J17)</f>
        <v>7</v>
      </c>
    </row>
    <row r="20" spans="1:15" x14ac:dyDescent="0.25">
      <c r="A20" s="1" t="s">
        <v>0</v>
      </c>
      <c r="B20" s="1" t="s">
        <v>1</v>
      </c>
      <c r="C20" s="1" t="s">
        <v>2</v>
      </c>
      <c r="D20" s="1" t="s">
        <v>3</v>
      </c>
      <c r="E20" s="1" t="s">
        <v>4</v>
      </c>
      <c r="F20" s="1" t="s">
        <v>107</v>
      </c>
      <c r="G20" s="1" t="s">
        <v>5</v>
      </c>
      <c r="H20" s="1" t="s">
        <v>6</v>
      </c>
      <c r="I20" s="1" t="s">
        <v>7</v>
      </c>
      <c r="J20" s="1" t="s">
        <v>8</v>
      </c>
      <c r="K20" s="1" t="s">
        <v>9</v>
      </c>
      <c r="L20" s="4" t="s">
        <v>60</v>
      </c>
      <c r="M20" s="4" t="s">
        <v>61</v>
      </c>
      <c r="N20" s="4" t="s">
        <v>104</v>
      </c>
    </row>
    <row r="21" spans="1:15" x14ac:dyDescent="0.25">
      <c r="E21" t="s">
        <v>108</v>
      </c>
      <c r="F21" t="s">
        <v>109</v>
      </c>
    </row>
    <row r="28" spans="1:15" x14ac:dyDescent="0.25">
      <c r="A28" s="21" t="s">
        <v>0</v>
      </c>
      <c r="B28" s="21" t="s">
        <v>1</v>
      </c>
      <c r="C28" s="21" t="s">
        <v>2</v>
      </c>
      <c r="D28" s="21" t="s">
        <v>3</v>
      </c>
      <c r="E28" s="21" t="s">
        <v>4</v>
      </c>
      <c r="F28" s="21" t="s">
        <v>5</v>
      </c>
      <c r="G28" s="21" t="s">
        <v>6</v>
      </c>
      <c r="H28" s="21" t="s">
        <v>7</v>
      </c>
      <c r="I28" s="21" t="s">
        <v>8</v>
      </c>
      <c r="J28" s="21" t="s">
        <v>9</v>
      </c>
      <c r="K28" s="21" t="s">
        <v>60</v>
      </c>
      <c r="L28" s="21" t="s">
        <v>61</v>
      </c>
      <c r="M28" s="21" t="s">
        <v>104</v>
      </c>
    </row>
    <row r="29" spans="1:15" x14ac:dyDescent="0.25">
      <c r="A29" s="22" t="s">
        <v>11</v>
      </c>
      <c r="B29" s="22" t="s">
        <v>20</v>
      </c>
      <c r="C29" s="22" t="s">
        <v>24</v>
      </c>
      <c r="D29" s="22" t="s">
        <v>40</v>
      </c>
      <c r="E29" s="22">
        <v>150</v>
      </c>
      <c r="F29" s="22">
        <v>2.99</v>
      </c>
      <c r="G29" s="22">
        <v>1.2</v>
      </c>
      <c r="H29" s="22" t="s">
        <v>55</v>
      </c>
      <c r="I29" s="22">
        <v>3.8</v>
      </c>
      <c r="J29" s="22" t="s">
        <v>59</v>
      </c>
      <c r="K29" s="22" t="s">
        <v>66</v>
      </c>
      <c r="L29" s="22" t="s">
        <v>67</v>
      </c>
      <c r="M29" s="23" t="s">
        <v>105</v>
      </c>
    </row>
    <row r="30" spans="1:15" x14ac:dyDescent="0.25">
      <c r="A30" s="22" t="s">
        <v>12</v>
      </c>
      <c r="B30" s="22" t="s">
        <v>18</v>
      </c>
      <c r="C30" s="22" t="s">
        <v>26</v>
      </c>
      <c r="D30" s="22" t="s">
        <v>42</v>
      </c>
      <c r="E30" s="22">
        <v>45</v>
      </c>
      <c r="F30" s="22">
        <v>12.99</v>
      </c>
      <c r="G30" s="22">
        <v>4.5</v>
      </c>
      <c r="H30" s="22" t="s">
        <v>56</v>
      </c>
      <c r="I30" s="22">
        <v>4.0999999999999996</v>
      </c>
      <c r="J30" s="22" t="s">
        <v>59</v>
      </c>
      <c r="K30" s="22" t="s">
        <v>70</v>
      </c>
      <c r="L30" s="22" t="s">
        <v>71</v>
      </c>
      <c r="M30" s="23" t="s">
        <v>105</v>
      </c>
      <c r="O30" s="24" t="s">
        <v>110</v>
      </c>
    </row>
    <row r="31" spans="1:15" x14ac:dyDescent="0.25">
      <c r="A31" s="22" t="s">
        <v>13</v>
      </c>
      <c r="B31" s="22" t="s">
        <v>20</v>
      </c>
      <c r="C31" s="22" t="s">
        <v>28</v>
      </c>
      <c r="D31" s="22" t="s">
        <v>44</v>
      </c>
      <c r="E31" s="22">
        <v>30</v>
      </c>
      <c r="F31" s="22">
        <v>34.99</v>
      </c>
      <c r="G31" s="22">
        <v>18</v>
      </c>
      <c r="H31" s="22" t="s">
        <v>54</v>
      </c>
      <c r="I31" s="22">
        <v>4</v>
      </c>
      <c r="J31" s="22" t="s">
        <v>58</v>
      </c>
      <c r="K31" s="22" t="s">
        <v>74</v>
      </c>
      <c r="L31" s="22" t="s">
        <v>75</v>
      </c>
      <c r="M31" s="23" t="s">
        <v>105</v>
      </c>
    </row>
    <row r="32" spans="1:15" x14ac:dyDescent="0.25">
      <c r="A32" s="22" t="s">
        <v>14</v>
      </c>
      <c r="B32" s="22" t="s">
        <v>18</v>
      </c>
      <c r="C32" s="22" t="s">
        <v>30</v>
      </c>
      <c r="D32" s="22" t="s">
        <v>46</v>
      </c>
      <c r="E32" s="22">
        <v>22</v>
      </c>
      <c r="F32" s="22">
        <v>79.989999999999995</v>
      </c>
      <c r="G32" s="22">
        <v>45</v>
      </c>
      <c r="H32" s="22" t="s">
        <v>53</v>
      </c>
      <c r="I32" s="22">
        <v>4.5999999999999996</v>
      </c>
      <c r="J32" s="22" t="s">
        <v>57</v>
      </c>
      <c r="K32" s="22" t="s">
        <v>78</v>
      </c>
      <c r="L32" s="22" t="s">
        <v>79</v>
      </c>
      <c r="M32" s="23" t="s">
        <v>105</v>
      </c>
    </row>
    <row r="33" spans="1:15" x14ac:dyDescent="0.25">
      <c r="A33" s="22" t="s">
        <v>16</v>
      </c>
      <c r="B33" s="22" t="s">
        <v>18</v>
      </c>
      <c r="C33" s="22" t="s">
        <v>34</v>
      </c>
      <c r="D33" s="22" t="s">
        <v>49</v>
      </c>
      <c r="E33" s="22">
        <v>85</v>
      </c>
      <c r="F33" s="22">
        <v>6.99</v>
      </c>
      <c r="G33" s="22">
        <v>2.8</v>
      </c>
      <c r="H33" s="22" t="s">
        <v>55</v>
      </c>
      <c r="I33" s="22">
        <v>4</v>
      </c>
      <c r="J33" s="22" t="s">
        <v>59</v>
      </c>
      <c r="K33" s="22" t="s">
        <v>86</v>
      </c>
      <c r="L33" s="22" t="s">
        <v>87</v>
      </c>
      <c r="M33" s="23" t="s">
        <v>105</v>
      </c>
    </row>
    <row r="37" spans="1:15" x14ac:dyDescent="0.25">
      <c r="A37" s="8" t="s">
        <v>0</v>
      </c>
      <c r="B37" s="8" t="s">
        <v>1</v>
      </c>
      <c r="C37" s="8" t="s">
        <v>2</v>
      </c>
      <c r="D37" s="8" t="s">
        <v>3</v>
      </c>
      <c r="E37" s="8" t="s">
        <v>4</v>
      </c>
      <c r="F37" s="8" t="s">
        <v>5</v>
      </c>
      <c r="G37" s="8" t="s">
        <v>6</v>
      </c>
      <c r="H37" s="8" t="s">
        <v>7</v>
      </c>
      <c r="I37" s="8" t="s">
        <v>8</v>
      </c>
      <c r="J37" s="8" t="s">
        <v>9</v>
      </c>
      <c r="K37" s="8" t="s">
        <v>60</v>
      </c>
      <c r="L37" s="8" t="s">
        <v>61</v>
      </c>
      <c r="M37" s="8" t="s">
        <v>104</v>
      </c>
    </row>
    <row r="38" spans="1:15" x14ac:dyDescent="0.25">
      <c r="A38" s="3" t="s">
        <v>10</v>
      </c>
      <c r="B38" s="3" t="s">
        <v>18</v>
      </c>
      <c r="C38" s="3" t="s">
        <v>22</v>
      </c>
      <c r="D38" s="3" t="s">
        <v>38</v>
      </c>
      <c r="E38" s="3">
        <v>12</v>
      </c>
      <c r="F38" s="3">
        <v>899.99</v>
      </c>
      <c r="G38" s="3">
        <v>650</v>
      </c>
      <c r="H38" s="3" t="s">
        <v>53</v>
      </c>
      <c r="I38" s="3">
        <v>4.5</v>
      </c>
      <c r="J38" s="3" t="s">
        <v>57</v>
      </c>
      <c r="K38" s="3" t="s">
        <v>62</v>
      </c>
      <c r="L38" s="3" t="s">
        <v>63</v>
      </c>
      <c r="M38" s="9" t="s">
        <v>106</v>
      </c>
    </row>
    <row r="39" spans="1:15" x14ac:dyDescent="0.25">
      <c r="A39" s="3" t="s">
        <v>15</v>
      </c>
      <c r="B39" s="3" t="s">
        <v>20</v>
      </c>
      <c r="C39" s="3" t="s">
        <v>32</v>
      </c>
      <c r="D39" s="3" t="s">
        <v>47</v>
      </c>
      <c r="E39" s="3">
        <v>15</v>
      </c>
      <c r="F39" s="3">
        <v>199.99</v>
      </c>
      <c r="G39" s="3">
        <v>120</v>
      </c>
      <c r="H39" s="3" t="s">
        <v>54</v>
      </c>
      <c r="I39" s="3">
        <v>4.4000000000000004</v>
      </c>
      <c r="J39" s="3" t="s">
        <v>58</v>
      </c>
      <c r="K39" s="3" t="s">
        <v>82</v>
      </c>
      <c r="L39" s="3" t="s">
        <v>83</v>
      </c>
      <c r="M39" s="9" t="s">
        <v>106</v>
      </c>
      <c r="O39" s="25" t="s">
        <v>111</v>
      </c>
    </row>
    <row r="40" spans="1:15" x14ac:dyDescent="0.25">
      <c r="A40" s="19" t="s">
        <v>17</v>
      </c>
      <c r="B40" s="19" t="s">
        <v>20</v>
      </c>
      <c r="C40" s="19" t="s">
        <v>36</v>
      </c>
      <c r="D40" s="19" t="s">
        <v>51</v>
      </c>
      <c r="E40" s="19">
        <v>7</v>
      </c>
      <c r="F40" s="19">
        <v>329.99</v>
      </c>
      <c r="G40" s="19">
        <v>240</v>
      </c>
      <c r="H40" s="19" t="s">
        <v>53</v>
      </c>
      <c r="I40" s="19">
        <v>4.8</v>
      </c>
      <c r="J40" s="19" t="s">
        <v>57</v>
      </c>
      <c r="K40" s="19" t="s">
        <v>90</v>
      </c>
      <c r="L40" s="19" t="s">
        <v>91</v>
      </c>
      <c r="M40" s="9" t="s">
        <v>106</v>
      </c>
    </row>
    <row r="41" spans="1:15" x14ac:dyDescent="0.25">
      <c r="A41" s="22"/>
      <c r="B41" s="22"/>
      <c r="C41" s="22"/>
      <c r="D41" s="22"/>
      <c r="E41" s="22"/>
      <c r="F41" s="22"/>
      <c r="G41" s="22"/>
      <c r="H41" s="22"/>
      <c r="I41" s="22"/>
      <c r="J41" s="22"/>
      <c r="K41" s="22"/>
      <c r="L41" s="22"/>
    </row>
    <row r="42" spans="1:15" x14ac:dyDescent="0.25">
      <c r="A42" s="22"/>
      <c r="B42" s="22"/>
      <c r="C42" s="22"/>
      <c r="D42" s="22"/>
      <c r="E42" s="22"/>
      <c r="F42" s="22"/>
      <c r="G42" s="22"/>
      <c r="H42" s="22"/>
      <c r="I42" s="22"/>
      <c r="J42" s="22"/>
      <c r="K42" s="22"/>
      <c r="L42" s="22"/>
    </row>
    <row r="44" spans="1:15" x14ac:dyDescent="0.25">
      <c r="A44" s="1" t="s">
        <v>0</v>
      </c>
      <c r="B44" s="1" t="s">
        <v>1</v>
      </c>
      <c r="C44" s="1" t="s">
        <v>2</v>
      </c>
      <c r="D44" s="1" t="s">
        <v>3</v>
      </c>
      <c r="E44" s="1" t="s">
        <v>4</v>
      </c>
      <c r="F44" s="1" t="s">
        <v>5</v>
      </c>
      <c r="G44" s="1" t="s">
        <v>6</v>
      </c>
      <c r="H44" s="1" t="s">
        <v>7</v>
      </c>
      <c r="I44" s="1" t="s">
        <v>8</v>
      </c>
      <c r="J44" s="1" t="s">
        <v>9</v>
      </c>
      <c r="K44" s="4" t="s">
        <v>60</v>
      </c>
      <c r="L44" s="4" t="s">
        <v>61</v>
      </c>
      <c r="M44" s="4" t="s">
        <v>104</v>
      </c>
    </row>
    <row r="45" spans="1:15" x14ac:dyDescent="0.25">
      <c r="A45" s="3" t="s">
        <v>11</v>
      </c>
      <c r="B45" s="3" t="s">
        <v>20</v>
      </c>
      <c r="C45" s="3" t="s">
        <v>24</v>
      </c>
      <c r="D45" s="3" t="s">
        <v>40</v>
      </c>
      <c r="E45" s="3">
        <v>150</v>
      </c>
      <c r="F45" s="3">
        <v>2.99</v>
      </c>
      <c r="G45" s="3">
        <v>1.2</v>
      </c>
      <c r="H45" s="3" t="s">
        <v>55</v>
      </c>
      <c r="I45" s="3">
        <v>3.8</v>
      </c>
      <c r="J45" s="6" t="s">
        <v>59</v>
      </c>
      <c r="K45" s="7" t="s">
        <v>66</v>
      </c>
      <c r="L45" s="7" t="s">
        <v>67</v>
      </c>
      <c r="M45" t="s">
        <v>105</v>
      </c>
    </row>
    <row r="46" spans="1:15" x14ac:dyDescent="0.25">
      <c r="A46" s="3" t="s">
        <v>14</v>
      </c>
      <c r="B46" s="3" t="s">
        <v>19</v>
      </c>
      <c r="C46" s="3" t="s">
        <v>31</v>
      </c>
      <c r="D46" s="3" t="s">
        <v>40</v>
      </c>
      <c r="E46" s="3">
        <v>200</v>
      </c>
      <c r="F46" s="3">
        <v>2.99</v>
      </c>
      <c r="G46" s="3">
        <v>1.2</v>
      </c>
      <c r="H46" s="3" t="s">
        <v>55</v>
      </c>
      <c r="I46" s="3">
        <v>3.7</v>
      </c>
      <c r="J46" s="6" t="s">
        <v>59</v>
      </c>
      <c r="K46" s="7" t="s">
        <v>80</v>
      </c>
      <c r="L46" s="7" t="s">
        <v>81</v>
      </c>
      <c r="M46" t="s">
        <v>105</v>
      </c>
      <c r="O46" s="24" t="s">
        <v>112</v>
      </c>
    </row>
    <row r="47" spans="1:15" x14ac:dyDescent="0.25">
      <c r="A47" s="3" t="s">
        <v>16</v>
      </c>
      <c r="B47" s="3" t="s">
        <v>18</v>
      </c>
      <c r="C47" s="3" t="s">
        <v>34</v>
      </c>
      <c r="D47" s="3" t="s">
        <v>49</v>
      </c>
      <c r="E47" s="3">
        <v>85</v>
      </c>
      <c r="F47" s="3">
        <v>6.99</v>
      </c>
      <c r="G47" s="3">
        <v>2.8</v>
      </c>
      <c r="H47" s="3" t="s">
        <v>55</v>
      </c>
      <c r="I47" s="3">
        <v>4</v>
      </c>
      <c r="J47" s="6" t="s">
        <v>59</v>
      </c>
      <c r="K47" s="7" t="s">
        <v>86</v>
      </c>
      <c r="L47" s="7" t="s">
        <v>87</v>
      </c>
      <c r="M47" t="s">
        <v>105</v>
      </c>
    </row>
    <row r="54" spans="3:4" x14ac:dyDescent="0.25">
      <c r="C54" s="10" t="s">
        <v>95</v>
      </c>
      <c r="D54" t="s">
        <v>116</v>
      </c>
    </row>
    <row r="55" spans="3:4" x14ac:dyDescent="0.25">
      <c r="C55" s="11" t="s">
        <v>59</v>
      </c>
      <c r="D55" s="13">
        <v>5</v>
      </c>
    </row>
    <row r="56" spans="3:4" x14ac:dyDescent="0.25">
      <c r="C56" s="11" t="s">
        <v>57</v>
      </c>
      <c r="D56" s="13">
        <v>7</v>
      </c>
    </row>
    <row r="57" spans="3:4" x14ac:dyDescent="0.25">
      <c r="C57" s="11" t="s">
        <v>58</v>
      </c>
      <c r="D57" s="13">
        <v>4</v>
      </c>
    </row>
    <row r="58" spans="3:4" x14ac:dyDescent="0.25">
      <c r="C58" s="11" t="s">
        <v>96</v>
      </c>
      <c r="D58" s="13">
        <v>16</v>
      </c>
    </row>
  </sheetData>
  <autoFilter ref="A37:M40" xr:uid="{10C2BE38-530D-462A-955E-3EF200B588B8}"/>
  <conditionalFormatting sqref="H2:H17">
    <cfRule type="containsText" dxfId="2" priority="1" operator="containsText" text="Electronics">
      <formula>NOT(ISERROR(SEARCH("Electronics",H2)))</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27"/>
  <sheetViews>
    <sheetView workbookViewId="0">
      <selection activeCell="M2" sqref="M2"/>
    </sheetView>
  </sheetViews>
  <sheetFormatPr defaultRowHeight="15" x14ac:dyDescent="0.25"/>
  <cols>
    <col min="1" max="1" width="10.42578125" bestFit="1" customWidth="1"/>
    <col min="2" max="2" width="11.7109375" bestFit="1" customWidth="1"/>
    <col min="3" max="3" width="16.42578125" bestFit="1" customWidth="1"/>
    <col min="4" max="4" width="13.140625" bestFit="1" customWidth="1"/>
    <col min="5" max="5" width="15.140625" bestFit="1" customWidth="1"/>
    <col min="6" max="6" width="14.85546875" bestFit="1" customWidth="1"/>
    <col min="7" max="7" width="18.42578125" bestFit="1" customWidth="1"/>
    <col min="8" max="8" width="14.5703125" bestFit="1" customWidth="1"/>
    <col min="9" max="9" width="20.85546875" bestFit="1" customWidth="1"/>
    <col min="10" max="10" width="21.85546875" bestFit="1" customWidth="1"/>
    <col min="11" max="11" width="15.140625" bestFit="1" customWidth="1"/>
    <col min="12" max="12" width="14.7109375" bestFit="1" customWidth="1"/>
    <col min="13" max="13" width="20.42578125" bestFit="1" customWidth="1"/>
  </cols>
  <sheetData>
    <row r="1" spans="1:13" x14ac:dyDescent="0.25">
      <c r="A1" s="15" t="s">
        <v>0</v>
      </c>
      <c r="B1" s="16" t="s">
        <v>1</v>
      </c>
      <c r="C1" s="16" t="s">
        <v>2</v>
      </c>
      <c r="D1" s="16" t="s">
        <v>3</v>
      </c>
      <c r="E1" s="16" t="s">
        <v>4</v>
      </c>
      <c r="F1" s="16" t="s">
        <v>5</v>
      </c>
      <c r="G1" s="16" t="s">
        <v>6</v>
      </c>
      <c r="H1" s="16" t="s">
        <v>7</v>
      </c>
      <c r="I1" s="16" t="s">
        <v>8</v>
      </c>
      <c r="J1" s="16" t="s">
        <v>9</v>
      </c>
      <c r="K1" s="16" t="s">
        <v>60</v>
      </c>
      <c r="L1" s="16" t="s">
        <v>61</v>
      </c>
      <c r="M1" s="17" t="s">
        <v>94</v>
      </c>
    </row>
    <row r="2" spans="1:13" x14ac:dyDescent="0.25">
      <c r="A2" s="14" t="s">
        <v>16</v>
      </c>
      <c r="B2" s="3" t="s">
        <v>18</v>
      </c>
      <c r="C2" s="3" t="s">
        <v>34</v>
      </c>
      <c r="D2" s="3" t="s">
        <v>49</v>
      </c>
      <c r="E2" s="3">
        <v>60</v>
      </c>
      <c r="F2" s="3">
        <v>6.99</v>
      </c>
      <c r="G2" s="3">
        <v>2.8</v>
      </c>
      <c r="H2" s="3" t="s">
        <v>55</v>
      </c>
      <c r="I2" s="3">
        <v>4</v>
      </c>
      <c r="J2" s="3" t="s">
        <v>59</v>
      </c>
      <c r="K2" s="3" t="s">
        <v>86</v>
      </c>
      <c r="L2" s="3" t="s">
        <v>87</v>
      </c>
      <c r="M2" s="6"/>
    </row>
    <row r="3" spans="1:13" x14ac:dyDescent="0.25">
      <c r="A3" s="14" t="s">
        <v>17</v>
      </c>
      <c r="B3" s="3" t="s">
        <v>20</v>
      </c>
      <c r="C3" s="3" t="s">
        <v>36</v>
      </c>
      <c r="D3" s="3" t="s">
        <v>51</v>
      </c>
      <c r="E3" s="3">
        <v>150</v>
      </c>
      <c r="F3" s="3">
        <v>329.99</v>
      </c>
      <c r="G3" s="3">
        <v>240</v>
      </c>
      <c r="H3" s="3" t="s">
        <v>53</v>
      </c>
      <c r="I3" s="3">
        <v>4.8</v>
      </c>
      <c r="J3" s="3" t="s">
        <v>57</v>
      </c>
      <c r="K3" s="3" t="s">
        <v>90</v>
      </c>
      <c r="L3" s="3" t="s">
        <v>91</v>
      </c>
      <c r="M3" s="6" t="e">
        <f>#REF!=IF(E3&gt;=20,"Good Sales","Bad Sales")</f>
        <v>#REF!</v>
      </c>
    </row>
    <row r="4" spans="1:13" x14ac:dyDescent="0.25">
      <c r="A4" s="14" t="s">
        <v>12</v>
      </c>
      <c r="B4" s="3" t="s">
        <v>18</v>
      </c>
      <c r="C4" s="3" t="s">
        <v>26</v>
      </c>
      <c r="D4" s="3" t="s">
        <v>42</v>
      </c>
      <c r="E4" s="3">
        <v>12</v>
      </c>
      <c r="F4" s="3">
        <v>12.99</v>
      </c>
      <c r="G4" s="3">
        <v>4.5</v>
      </c>
      <c r="H4" s="3" t="s">
        <v>56</v>
      </c>
      <c r="I4" s="3">
        <v>4.0999999999999996</v>
      </c>
      <c r="J4" s="3" t="s">
        <v>59</v>
      </c>
      <c r="K4" s="3" t="s">
        <v>70</v>
      </c>
      <c r="L4" s="3" t="s">
        <v>71</v>
      </c>
      <c r="M4" s="6" t="e">
        <f>#REF!=IF(E4&gt;=20,"Good Sales","Bad Sales")</f>
        <v>#REF!</v>
      </c>
    </row>
    <row r="5" spans="1:13" x14ac:dyDescent="0.25">
      <c r="A5" s="14" t="s">
        <v>10</v>
      </c>
      <c r="B5" s="3" t="s">
        <v>19</v>
      </c>
      <c r="C5" s="3" t="s">
        <v>23</v>
      </c>
      <c r="D5" s="3" t="s">
        <v>39</v>
      </c>
      <c r="E5" s="3">
        <v>8</v>
      </c>
      <c r="F5" s="3">
        <v>149.99</v>
      </c>
      <c r="G5" s="3">
        <v>90</v>
      </c>
      <c r="H5" s="3" t="s">
        <v>54</v>
      </c>
      <c r="I5" s="3">
        <v>4.2</v>
      </c>
      <c r="J5" s="3" t="s">
        <v>58</v>
      </c>
      <c r="K5" s="3" t="s">
        <v>64</v>
      </c>
      <c r="L5" s="3" t="s">
        <v>65</v>
      </c>
      <c r="M5" s="6" t="e">
        <f>#REF!=IF(E5&gt;=20,"Good Sales","Bad Sales")</f>
        <v>#REF!</v>
      </c>
    </row>
    <row r="6" spans="1:13" x14ac:dyDescent="0.25">
      <c r="A6" s="14" t="s">
        <v>14</v>
      </c>
      <c r="B6" s="3" t="s">
        <v>18</v>
      </c>
      <c r="C6" s="3" t="s">
        <v>30</v>
      </c>
      <c r="D6" s="3" t="s">
        <v>46</v>
      </c>
      <c r="E6" s="3">
        <v>25</v>
      </c>
      <c r="F6" s="3">
        <v>79.989999999999995</v>
      </c>
      <c r="G6" s="3">
        <v>45</v>
      </c>
      <c r="H6" s="3" t="s">
        <v>53</v>
      </c>
      <c r="I6" s="3">
        <v>4.5999999999999996</v>
      </c>
      <c r="J6" s="3" t="s">
        <v>57</v>
      </c>
      <c r="K6" s="3" t="s">
        <v>78</v>
      </c>
      <c r="L6" s="3" t="s">
        <v>79</v>
      </c>
      <c r="M6" s="6" t="e">
        <f>#REF!=IF(E6&gt;=20,"Good Sales","Bad Sales")</f>
        <v>#REF!</v>
      </c>
    </row>
    <row r="7" spans="1:13" x14ac:dyDescent="0.25">
      <c r="A7" s="14" t="s">
        <v>15</v>
      </c>
      <c r="B7" s="3" t="s">
        <v>21</v>
      </c>
      <c r="C7" s="3" t="s">
        <v>33</v>
      </c>
      <c r="D7" s="3" t="s">
        <v>48</v>
      </c>
      <c r="E7" s="3">
        <v>45</v>
      </c>
      <c r="F7" s="3">
        <v>24.99</v>
      </c>
      <c r="G7" s="3">
        <v>15</v>
      </c>
      <c r="H7" s="3" t="s">
        <v>53</v>
      </c>
      <c r="I7" s="3">
        <v>4.2</v>
      </c>
      <c r="J7" s="3" t="s">
        <v>57</v>
      </c>
      <c r="K7" s="3" t="s">
        <v>84</v>
      </c>
      <c r="L7" s="3" t="s">
        <v>85</v>
      </c>
      <c r="M7" s="6" t="e">
        <f>#REF!=IF(E7&gt;=20,"Good Sales","Bad Sales")</f>
        <v>#REF!</v>
      </c>
    </row>
    <row r="8" spans="1:13" x14ac:dyDescent="0.25">
      <c r="A8" s="14" t="s">
        <v>10</v>
      </c>
      <c r="B8" s="3" t="s">
        <v>18</v>
      </c>
      <c r="C8" s="3" t="s">
        <v>22</v>
      </c>
      <c r="D8" s="3" t="s">
        <v>38</v>
      </c>
      <c r="E8" s="3">
        <v>7</v>
      </c>
      <c r="F8" s="3">
        <v>899.99</v>
      </c>
      <c r="G8" s="3">
        <v>650</v>
      </c>
      <c r="H8" s="3" t="s">
        <v>53</v>
      </c>
      <c r="I8" s="3">
        <v>4.5</v>
      </c>
      <c r="J8" s="3" t="s">
        <v>57</v>
      </c>
      <c r="K8" s="3" t="s">
        <v>62</v>
      </c>
      <c r="L8" s="3" t="s">
        <v>63</v>
      </c>
      <c r="M8" s="6" t="e">
        <f>#REF!=IF(E8&gt;=20,"Good Sales","Bad Sales")</f>
        <v>#REF!</v>
      </c>
    </row>
    <row r="9" spans="1:13" x14ac:dyDescent="0.25">
      <c r="A9" s="14" t="s">
        <v>16</v>
      </c>
      <c r="B9" s="3" t="s">
        <v>19</v>
      </c>
      <c r="C9" s="3" t="s">
        <v>35</v>
      </c>
      <c r="D9" s="3" t="s">
        <v>50</v>
      </c>
      <c r="E9" s="3">
        <v>85</v>
      </c>
      <c r="F9" s="3">
        <v>49.99</v>
      </c>
      <c r="G9" s="3">
        <v>28</v>
      </c>
      <c r="H9" s="3" t="s">
        <v>56</v>
      </c>
      <c r="I9" s="3">
        <v>4.3</v>
      </c>
      <c r="J9" s="3" t="s">
        <v>58</v>
      </c>
      <c r="K9" s="3" t="s">
        <v>88</v>
      </c>
      <c r="L9" s="3" t="s">
        <v>89</v>
      </c>
      <c r="M9" s="6" t="e">
        <f>#REF!=IF(E9&gt;=20,"Good Sales","Bad Sales")</f>
        <v>#REF!</v>
      </c>
    </row>
    <row r="10" spans="1:13" x14ac:dyDescent="0.25">
      <c r="A10" s="14" t="s">
        <v>12</v>
      </c>
      <c r="B10" s="3" t="s">
        <v>19</v>
      </c>
      <c r="C10" s="3" t="s">
        <v>27</v>
      </c>
      <c r="D10" s="3" t="s">
        <v>43</v>
      </c>
      <c r="E10" s="3">
        <v>15</v>
      </c>
      <c r="F10" s="3">
        <v>49.99</v>
      </c>
      <c r="G10" s="3">
        <v>32</v>
      </c>
      <c r="H10" s="3" t="s">
        <v>53</v>
      </c>
      <c r="I10" s="3">
        <v>4.3</v>
      </c>
      <c r="J10" s="3" t="s">
        <v>57</v>
      </c>
      <c r="K10" s="3" t="s">
        <v>72</v>
      </c>
      <c r="L10" s="3" t="s">
        <v>73</v>
      </c>
      <c r="M10" s="6" t="e">
        <f>#REF!=IF(E10&gt;=20,"Good Sales","Bad Sales")</f>
        <v>#REF!</v>
      </c>
    </row>
    <row r="11" spans="1:13" x14ac:dyDescent="0.25">
      <c r="A11" s="14" t="s">
        <v>13</v>
      </c>
      <c r="B11" s="3" t="s">
        <v>21</v>
      </c>
      <c r="C11" s="3" t="s">
        <v>29</v>
      </c>
      <c r="D11" s="3" t="s">
        <v>45</v>
      </c>
      <c r="E11" s="3">
        <v>22</v>
      </c>
      <c r="F11" s="3">
        <v>8.99</v>
      </c>
      <c r="G11" s="3">
        <v>3.75</v>
      </c>
      <c r="H11" s="3" t="s">
        <v>55</v>
      </c>
      <c r="I11" s="3">
        <v>3.9</v>
      </c>
      <c r="J11" s="3" t="s">
        <v>59</v>
      </c>
      <c r="K11" s="3" t="s">
        <v>76</v>
      </c>
      <c r="L11" s="3" t="s">
        <v>77</v>
      </c>
      <c r="M11" s="6" t="e">
        <f>#REF!=IF(E11&gt;=20,"Good Sales","Bad Sales")</f>
        <v>#REF!</v>
      </c>
    </row>
    <row r="12" spans="1:13" x14ac:dyDescent="0.25">
      <c r="A12" s="14" t="s">
        <v>11</v>
      </c>
      <c r="B12" s="3" t="s">
        <v>20</v>
      </c>
      <c r="C12" s="3" t="s">
        <v>24</v>
      </c>
      <c r="D12" s="3" t="s">
        <v>40</v>
      </c>
      <c r="E12" s="3">
        <v>9</v>
      </c>
      <c r="F12" s="3">
        <v>2.99</v>
      </c>
      <c r="G12" s="3">
        <v>1.2</v>
      </c>
      <c r="H12" s="3" t="s">
        <v>55</v>
      </c>
      <c r="I12" s="3">
        <v>3.8</v>
      </c>
      <c r="J12" s="3" t="s">
        <v>59</v>
      </c>
      <c r="K12" s="3" t="s">
        <v>66</v>
      </c>
      <c r="L12" s="3" t="s">
        <v>67</v>
      </c>
      <c r="M12" s="6" t="e">
        <f>#REF!=IF(E12&gt;=20,"Good Sales","Bad Sales")</f>
        <v>#REF!</v>
      </c>
    </row>
    <row r="13" spans="1:13" x14ac:dyDescent="0.25">
      <c r="A13" s="14" t="s">
        <v>14</v>
      </c>
      <c r="B13" s="3" t="s">
        <v>19</v>
      </c>
      <c r="C13" s="3" t="s">
        <v>31</v>
      </c>
      <c r="D13" s="3" t="s">
        <v>40</v>
      </c>
      <c r="E13" s="3">
        <v>30</v>
      </c>
      <c r="F13" s="3">
        <v>2.99</v>
      </c>
      <c r="G13" s="3">
        <v>1.2</v>
      </c>
      <c r="H13" s="3" t="s">
        <v>55</v>
      </c>
      <c r="I13" s="3">
        <v>3.7</v>
      </c>
      <c r="J13" s="3" t="s">
        <v>59</v>
      </c>
      <c r="K13" s="3" t="s">
        <v>80</v>
      </c>
      <c r="L13" s="3" t="s">
        <v>81</v>
      </c>
      <c r="M13" s="6" t="e">
        <f>#REF!=IF(E13&gt;=20,"Good Sales","Bad Sales")</f>
        <v>#REF!</v>
      </c>
    </row>
    <row r="14" spans="1:13" x14ac:dyDescent="0.25">
      <c r="A14" s="14" t="s">
        <v>13</v>
      </c>
      <c r="B14" s="3" t="s">
        <v>20</v>
      </c>
      <c r="C14" s="3" t="s">
        <v>28</v>
      </c>
      <c r="D14" s="3" t="s">
        <v>44</v>
      </c>
      <c r="E14" s="3">
        <v>18</v>
      </c>
      <c r="F14" s="3">
        <v>34.99</v>
      </c>
      <c r="G14" s="3">
        <v>18</v>
      </c>
      <c r="H14" s="3" t="s">
        <v>54</v>
      </c>
      <c r="I14" s="3">
        <v>4</v>
      </c>
      <c r="J14" s="3" t="s">
        <v>58</v>
      </c>
      <c r="K14" s="3" t="s">
        <v>74</v>
      </c>
      <c r="L14" s="3" t="s">
        <v>75</v>
      </c>
      <c r="M14" s="6" t="e">
        <f>#REF!=IF(E14&gt;=20,"Good Sales","Bad Sales")</f>
        <v>#REF!</v>
      </c>
    </row>
    <row r="15" spans="1:13" x14ac:dyDescent="0.25">
      <c r="A15" s="14" t="s">
        <v>11</v>
      </c>
      <c r="B15" s="3" t="s">
        <v>21</v>
      </c>
      <c r="C15" s="3" t="s">
        <v>25</v>
      </c>
      <c r="D15" s="3" t="s">
        <v>41</v>
      </c>
      <c r="E15" s="3">
        <v>10</v>
      </c>
      <c r="F15" s="3">
        <v>299.99</v>
      </c>
      <c r="G15" s="3">
        <v>210</v>
      </c>
      <c r="H15" s="3" t="s">
        <v>53</v>
      </c>
      <c r="I15" s="3">
        <v>4.7</v>
      </c>
      <c r="J15" s="3" t="s">
        <v>57</v>
      </c>
      <c r="K15" s="3" t="s">
        <v>68</v>
      </c>
      <c r="L15" s="3" t="s">
        <v>69</v>
      </c>
      <c r="M15" s="6" t="e">
        <f>#REF!=IF(E15&gt;=20,"Good Sales","Bad Sales")</f>
        <v>#REF!</v>
      </c>
    </row>
    <row r="16" spans="1:13" x14ac:dyDescent="0.25">
      <c r="A16" s="14" t="s">
        <v>17</v>
      </c>
      <c r="B16" s="3" t="s">
        <v>21</v>
      </c>
      <c r="C16" s="3" t="s">
        <v>37</v>
      </c>
      <c r="D16" s="3" t="s">
        <v>52</v>
      </c>
      <c r="E16" s="3">
        <v>200</v>
      </c>
      <c r="F16" s="3">
        <v>89.99</v>
      </c>
      <c r="G16" s="3">
        <v>55</v>
      </c>
      <c r="H16" s="3" t="s">
        <v>54</v>
      </c>
      <c r="I16" s="3">
        <v>4.0999999999999996</v>
      </c>
      <c r="J16" s="3" t="s">
        <v>57</v>
      </c>
      <c r="K16" s="3" t="s">
        <v>92</v>
      </c>
      <c r="L16" s="3" t="s">
        <v>93</v>
      </c>
      <c r="M16" s="6" t="e">
        <f>#REF!=IF(E16&gt;=20,"Good Sales","Bad Sales")</f>
        <v>#REF!</v>
      </c>
    </row>
    <row r="17" spans="1:13" x14ac:dyDescent="0.25">
      <c r="A17" s="18" t="s">
        <v>15</v>
      </c>
      <c r="B17" s="19" t="s">
        <v>20</v>
      </c>
      <c r="C17" s="19" t="s">
        <v>32</v>
      </c>
      <c r="D17" s="19" t="s">
        <v>47</v>
      </c>
      <c r="E17" s="19">
        <v>35</v>
      </c>
      <c r="F17" s="19">
        <v>199.99</v>
      </c>
      <c r="G17" s="19">
        <v>120</v>
      </c>
      <c r="H17" s="19" t="s">
        <v>54</v>
      </c>
      <c r="I17" s="19">
        <v>4.4000000000000004</v>
      </c>
      <c r="J17" s="19" t="s">
        <v>58</v>
      </c>
      <c r="K17" s="19" t="s">
        <v>82</v>
      </c>
      <c r="L17" s="19" t="s">
        <v>83</v>
      </c>
      <c r="M17" s="20" t="e">
        <f>#REF!=IF(E17&gt;=20,"Good Sales","Bad Sales")</f>
        <v>#REF!</v>
      </c>
    </row>
    <row r="18" spans="1:13" x14ac:dyDescent="0.25">
      <c r="A18" s="18" t="s">
        <v>100</v>
      </c>
      <c r="B18" s="19" t="s">
        <v>20</v>
      </c>
      <c r="C18" s="19" t="s">
        <v>101</v>
      </c>
      <c r="D18" s="19" t="s">
        <v>102</v>
      </c>
      <c r="E18" s="19">
        <v>20</v>
      </c>
      <c r="F18" s="19">
        <v>122.4</v>
      </c>
      <c r="G18" s="19">
        <v>120</v>
      </c>
      <c r="H18" s="19" t="s">
        <v>55</v>
      </c>
      <c r="I18" s="19">
        <v>4.0999999999999996</v>
      </c>
      <c r="J18" s="19" t="s">
        <v>59</v>
      </c>
      <c r="K18" s="19" t="s">
        <v>62</v>
      </c>
      <c r="L18" s="19" t="s">
        <v>103</v>
      </c>
      <c r="M18" s="20" t="e">
        <f>#REF!=IF(E18&gt;=20,"Good Sales","Bad Sales")</f>
        <v>#REF!</v>
      </c>
    </row>
    <row r="19" spans="1:13" x14ac:dyDescent="0.25">
      <c r="A19" s="18"/>
      <c r="B19" s="19"/>
      <c r="C19" s="19"/>
      <c r="D19" s="19"/>
      <c r="E19" s="19">
        <f>SUMIF($M$2:$M$18,"Good Sales",$E$2:$E$18)</f>
        <v>0</v>
      </c>
      <c r="F19" s="19"/>
      <c r="G19" s="19"/>
      <c r="H19" s="19"/>
      <c r="I19" s="19">
        <f>ROUND(AVERAGE(I2:I18),1)</f>
        <v>4.2</v>
      </c>
      <c r="J19" s="19"/>
      <c r="K19" s="19"/>
      <c r="L19" s="19"/>
      <c r="M19" s="20"/>
    </row>
    <row r="21" spans="1:13" x14ac:dyDescent="0.25">
      <c r="H21" s="10" t="s">
        <v>95</v>
      </c>
      <c r="I21" t="s">
        <v>99</v>
      </c>
    </row>
    <row r="22" spans="1:13" x14ac:dyDescent="0.25">
      <c r="H22" s="11" t="s">
        <v>97</v>
      </c>
      <c r="I22" s="13">
        <v>8</v>
      </c>
    </row>
    <row r="23" spans="1:13" x14ac:dyDescent="0.25">
      <c r="H23" s="12" t="s">
        <v>41</v>
      </c>
      <c r="I23" s="13">
        <v>8</v>
      </c>
    </row>
    <row r="24" spans="1:13" x14ac:dyDescent="0.25">
      <c r="H24" s="11" t="s">
        <v>98</v>
      </c>
      <c r="I24" s="13">
        <v>180</v>
      </c>
    </row>
    <row r="25" spans="1:13" x14ac:dyDescent="0.25">
      <c r="H25" s="12" t="s">
        <v>44</v>
      </c>
      <c r="I25" s="13">
        <v>30</v>
      </c>
    </row>
    <row r="26" spans="1:13" x14ac:dyDescent="0.25">
      <c r="H26" s="12" t="s">
        <v>40</v>
      </c>
      <c r="I26" s="13">
        <v>150</v>
      </c>
    </row>
    <row r="27" spans="1:13" x14ac:dyDescent="0.25">
      <c r="H27" s="11" t="s">
        <v>96</v>
      </c>
      <c r="I27" s="13">
        <v>188</v>
      </c>
    </row>
  </sheetData>
  <sortState ref="A2:M17">
    <sortCondition ref="C2"/>
  </sortState>
  <conditionalFormatting sqref="H21:I21 H22:H39">
    <cfRule type="containsText" dxfId="1" priority="1" operator="containsText" text="Good">
      <formula>NOT(ISERROR(SEARCH("Good",H21)))</formula>
    </cfRule>
    <cfRule type="containsText" dxfId="0" priority="2" operator="containsText" text="Bad">
      <formula>NOT(ISERROR(SEARCH("Bad",H21)))</formula>
    </cfRule>
  </conditionalFormatting>
  <pageMargins left="0.7" right="0.7" top="0.75" bottom="0.75" header="0.3" footer="0.3"/>
  <pageSetup orientation="portrait" r:id="rId2"/>
  <drawing r:id="rId3"/>
  <tableParts count="1">
    <tablePart r:id="rId4"/>
  </tableParts>
  <extLst>
    <ext xmlns:x14="http://schemas.microsoft.com/office/spreadsheetml/2009/9/main" uri="{A8765BA9-456A-4dab-B4F3-ACF838C121DE}">
      <x14:slicerList>
        <x14:slicer r:id="rId5"/>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Sheet3</vt:lpstr>
      <vt:lpstr>Sheet1</vt:lpstr>
      <vt:lpstr>Sheet3!Criteria</vt:lpstr>
      <vt:lpstr>Sheet3!Extract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Jishnu K</cp:lastModifiedBy>
  <dcterms:created xsi:type="dcterms:W3CDTF">2026-01-26T22:43:14Z</dcterms:created>
  <dcterms:modified xsi:type="dcterms:W3CDTF">2026-01-28T16:09:07Z</dcterms:modified>
</cp:coreProperties>
</file>