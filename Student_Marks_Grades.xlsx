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k977\OneDrive\Desktop\Excel Study\"/>
    </mc:Choice>
  </mc:AlternateContent>
  <xr:revisionPtr revIDLastSave="0" documentId="13_ncr:1_{8510600D-95AB-4D0A-9A73-6911090D0C02}" xr6:coauthVersionLast="36" xr6:coauthVersionMax="36" xr10:uidLastSave="{00000000-0000-0000-0000-000000000000}"/>
  <bookViews>
    <workbookView xWindow="0" yWindow="0" windowWidth="24000" windowHeight="9525" xr2:uid="{00000000-000D-0000-FFFF-FFFF00000000}"/>
  </bookViews>
  <sheets>
    <sheet name="Sheet2" sheetId="2" r:id="rId1"/>
    <sheet name="Sheet4" sheetId="4" r:id="rId2"/>
    <sheet name="Sheet3" sheetId="3" r:id="rId3"/>
    <sheet name="Sheet1" sheetId="1" r:id="rId4"/>
  </sheets>
  <calcPr calcId="191029"/>
  <pivotCaches>
    <pivotCache cacheId="27" r:id="rId5"/>
    <pivotCache cacheId="26" r:id="rId6"/>
  </pivotCaches>
</workbook>
</file>

<file path=xl/calcChain.xml><?xml version="1.0" encoding="utf-8"?>
<calcChain xmlns="http://schemas.openxmlformats.org/spreadsheetml/2006/main">
  <c r="H2" i="3" l="1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  <c r="I6" i="1"/>
  <c r="I5" i="1"/>
  <c r="A19" i="1" a="1"/>
  <c r="A19" i="1" s="1"/>
  <c r="O23" i="1" l="1"/>
  <c r="K23" i="1"/>
  <c r="G23" i="1"/>
  <c r="C23" i="1"/>
  <c r="O22" i="1"/>
  <c r="K22" i="1"/>
  <c r="G22" i="1"/>
  <c r="C22" i="1"/>
  <c r="O21" i="1"/>
  <c r="K21" i="1"/>
  <c r="G21" i="1"/>
  <c r="C21" i="1"/>
  <c r="O20" i="1"/>
  <c r="K20" i="1"/>
  <c r="G20" i="1"/>
  <c r="C20" i="1"/>
  <c r="O19" i="1"/>
  <c r="K19" i="1"/>
  <c r="G19" i="1"/>
  <c r="C19" i="1"/>
  <c r="P23" i="1"/>
  <c r="L23" i="1"/>
  <c r="H23" i="1"/>
  <c r="D23" i="1"/>
  <c r="P22" i="1"/>
  <c r="L22" i="1"/>
  <c r="H22" i="1"/>
  <c r="D22" i="1"/>
  <c r="P21" i="1"/>
  <c r="L21" i="1"/>
  <c r="H21" i="1"/>
  <c r="D21" i="1"/>
  <c r="P20" i="1"/>
  <c r="L20" i="1"/>
  <c r="H20" i="1"/>
  <c r="D20" i="1"/>
  <c r="P19" i="1"/>
  <c r="L19" i="1"/>
  <c r="H19" i="1"/>
  <c r="D19" i="1"/>
  <c r="N23" i="1"/>
  <c r="J23" i="1"/>
  <c r="F23" i="1"/>
  <c r="B23" i="1"/>
  <c r="N22" i="1"/>
  <c r="J22" i="1"/>
  <c r="F22" i="1"/>
  <c r="B22" i="1"/>
  <c r="N21" i="1"/>
  <c r="J21" i="1"/>
  <c r="F21" i="1"/>
  <c r="B21" i="1"/>
  <c r="N20" i="1"/>
  <c r="J20" i="1"/>
  <c r="F20" i="1"/>
  <c r="B20" i="1"/>
  <c r="N19" i="1"/>
  <c r="J19" i="1"/>
  <c r="F19" i="1"/>
  <c r="B19" i="1"/>
  <c r="M23" i="1"/>
  <c r="I23" i="1"/>
  <c r="E23" i="1"/>
  <c r="A23" i="1"/>
  <c r="M22" i="1"/>
  <c r="I22" i="1"/>
  <c r="E22" i="1"/>
  <c r="A22" i="1"/>
  <c r="M21" i="1"/>
  <c r="I21" i="1"/>
  <c r="E21" i="1"/>
  <c r="A21" i="1"/>
  <c r="M20" i="1"/>
  <c r="I20" i="1"/>
  <c r="E20" i="1"/>
  <c r="A20" i="1"/>
  <c r="M19" i="1"/>
  <c r="I19" i="1"/>
  <c r="E19" i="1"/>
</calcChain>
</file>

<file path=xl/sharedStrings.xml><?xml version="1.0" encoding="utf-8"?>
<sst xmlns="http://schemas.openxmlformats.org/spreadsheetml/2006/main" count="183" uniqueCount="31">
  <si>
    <t>Student ID</t>
  </si>
  <si>
    <t>Name</t>
  </si>
  <si>
    <t>Class</t>
  </si>
  <si>
    <t>Subject</t>
  </si>
  <si>
    <t>Marks</t>
  </si>
  <si>
    <t>Grade</t>
  </si>
  <si>
    <t>Alice</t>
  </si>
  <si>
    <t>Bob</t>
  </si>
  <si>
    <t>Charlie</t>
  </si>
  <si>
    <t>David</t>
  </si>
  <si>
    <t>Eva</t>
  </si>
  <si>
    <t>10A</t>
  </si>
  <si>
    <t>10B</t>
  </si>
  <si>
    <t>Math</t>
  </si>
  <si>
    <t>English</t>
  </si>
  <si>
    <t>Science</t>
  </si>
  <si>
    <t>A</t>
  </si>
  <si>
    <t>B</t>
  </si>
  <si>
    <t>C</t>
  </si>
  <si>
    <t>Row Labels</t>
  </si>
  <si>
    <t>Grand Total</t>
  </si>
  <si>
    <t>Sum of Marks</t>
  </si>
  <si>
    <t>VLOOKUP</t>
  </si>
  <si>
    <t>charlie</t>
  </si>
  <si>
    <t>alice</t>
  </si>
  <si>
    <t>bob</t>
  </si>
  <si>
    <t>david</t>
  </si>
  <si>
    <t>eva</t>
  </si>
  <si>
    <t>Column1</t>
  </si>
  <si>
    <t>Clss</t>
  </si>
  <si>
    <t>helper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</si>
</sst>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0" xfId="0" applyFont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5" xfId="0" applyFont="1" applyBorder="1" applyAlignment="1">
      <alignment vertical="top"/>
    </xf>
    <xf numFmtId="0" fontId="1" fillId="0" borderId="6" xfId="0" applyFont="1" applyBorder="1" applyAlignment="1">
      <alignment horizontal="center" vertical="top"/>
    </xf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13"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[Student_Marks_Grades.xlsx]Sheet4!PivotTable9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Sum of Student Mark Name</a:t>
            </a:r>
          </a:p>
        </c:rich>
      </c:tx>
      <c:layout>
        <c:manualLayout>
          <c:xMode val="edge"/>
          <c:yMode val="edge"/>
          <c:x val="0.30859011373578304"/>
          <c:y val="7.76829979585885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tx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Sheet4!$D$3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Sheet4!$A$4:$C$18</c:f>
              <c:multiLvlStrCache>
                <c:ptCount val="15"/>
                <c:lvl>
                  <c:pt idx="0">
                    <c:v>A</c:v>
                  </c:pt>
                  <c:pt idx="1">
                    <c:v>A</c:v>
                  </c:pt>
                  <c:pt idx="2">
                    <c:v>A</c:v>
                  </c:pt>
                  <c:pt idx="3">
                    <c:v>B</c:v>
                  </c:pt>
                  <c:pt idx="4">
                    <c:v>B</c:v>
                  </c:pt>
                  <c:pt idx="5">
                    <c:v>B</c:v>
                  </c:pt>
                  <c:pt idx="6">
                    <c:v>C</c:v>
                  </c:pt>
                  <c:pt idx="7">
                    <c:v>C</c:v>
                  </c:pt>
                  <c:pt idx="8">
                    <c:v>C</c:v>
                  </c:pt>
                  <c:pt idx="9">
                    <c:v>A</c:v>
                  </c:pt>
                  <c:pt idx="10">
                    <c:v>A</c:v>
                  </c:pt>
                  <c:pt idx="11">
                    <c:v>A</c:v>
                  </c:pt>
                  <c:pt idx="12">
                    <c:v>B</c:v>
                  </c:pt>
                  <c:pt idx="13">
                    <c:v>C</c:v>
                  </c:pt>
                  <c:pt idx="14">
                    <c:v>C</c:v>
                  </c:pt>
                </c:lvl>
                <c:lvl>
                  <c:pt idx="0">
                    <c:v>English</c:v>
                  </c:pt>
                  <c:pt idx="1">
                    <c:v>Math</c:v>
                  </c:pt>
                  <c:pt idx="2">
                    <c:v>Science</c:v>
                  </c:pt>
                  <c:pt idx="3">
                    <c:v>English</c:v>
                  </c:pt>
                  <c:pt idx="4">
                    <c:v>Math</c:v>
                  </c:pt>
                  <c:pt idx="5">
                    <c:v>Science</c:v>
                  </c:pt>
                  <c:pt idx="6">
                    <c:v>English</c:v>
                  </c:pt>
                  <c:pt idx="7">
                    <c:v>Math</c:v>
                  </c:pt>
                  <c:pt idx="8">
                    <c:v>Science</c:v>
                  </c:pt>
                  <c:pt idx="9">
                    <c:v>English</c:v>
                  </c:pt>
                  <c:pt idx="10">
                    <c:v>Math</c:v>
                  </c:pt>
                  <c:pt idx="11">
                    <c:v>Science</c:v>
                  </c:pt>
                  <c:pt idx="12">
                    <c:v>English</c:v>
                  </c:pt>
                  <c:pt idx="13">
                    <c:v>Math</c:v>
                  </c:pt>
                  <c:pt idx="14">
                    <c:v>Science</c:v>
                  </c:pt>
                </c:lvl>
                <c:lvl>
                  <c:pt idx="0">
                    <c:v>Alice</c:v>
                  </c:pt>
                  <c:pt idx="3">
                    <c:v>Bob</c:v>
                  </c:pt>
                  <c:pt idx="6">
                    <c:v>Charlie</c:v>
                  </c:pt>
                  <c:pt idx="9">
                    <c:v>David</c:v>
                  </c:pt>
                  <c:pt idx="12">
                    <c:v>Eva</c:v>
                  </c:pt>
                </c:lvl>
              </c:multiLvlStrCache>
            </c:multiLvlStrRef>
          </c:cat>
          <c:val>
            <c:numRef>
              <c:f>Sheet4!$D$4:$D$18</c:f>
              <c:numCache>
                <c:formatCode>General</c:formatCode>
                <c:ptCount val="15"/>
                <c:pt idx="0">
                  <c:v>92</c:v>
                </c:pt>
                <c:pt idx="1">
                  <c:v>88</c:v>
                </c:pt>
                <c:pt idx="2">
                  <c:v>85</c:v>
                </c:pt>
                <c:pt idx="3">
                  <c:v>81</c:v>
                </c:pt>
                <c:pt idx="4">
                  <c:v>76</c:v>
                </c:pt>
                <c:pt idx="5">
                  <c:v>70</c:v>
                </c:pt>
                <c:pt idx="6">
                  <c:v>60</c:v>
                </c:pt>
                <c:pt idx="7">
                  <c:v>54</c:v>
                </c:pt>
                <c:pt idx="8">
                  <c:v>55</c:v>
                </c:pt>
                <c:pt idx="9">
                  <c:v>88</c:v>
                </c:pt>
                <c:pt idx="10">
                  <c:v>90</c:v>
                </c:pt>
                <c:pt idx="11">
                  <c:v>95</c:v>
                </c:pt>
                <c:pt idx="12">
                  <c:v>72</c:v>
                </c:pt>
                <c:pt idx="13">
                  <c:v>65</c:v>
                </c:pt>
                <c:pt idx="14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A1-46E8-A8A8-A1A935BC2B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229407"/>
        <c:axId val="85340895"/>
      </c:barChart>
      <c:catAx>
        <c:axId val="85229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340895"/>
        <c:crosses val="autoZero"/>
        <c:auto val="1"/>
        <c:lblAlgn val="ctr"/>
        <c:lblOffset val="100"/>
        <c:noMultiLvlLbl val="0"/>
      </c:catAx>
      <c:valAx>
        <c:axId val="85340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29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[Student_Marks_Grades.xlsx]Sheet4!PivotTable9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Sheet4!$D$3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multiLvlStrRef>
              <c:f>Sheet4!$A$4:$C$18</c:f>
              <c:multiLvlStrCache>
                <c:ptCount val="15"/>
                <c:lvl>
                  <c:pt idx="0">
                    <c:v>A</c:v>
                  </c:pt>
                  <c:pt idx="1">
                    <c:v>A</c:v>
                  </c:pt>
                  <c:pt idx="2">
                    <c:v>A</c:v>
                  </c:pt>
                  <c:pt idx="3">
                    <c:v>B</c:v>
                  </c:pt>
                  <c:pt idx="4">
                    <c:v>B</c:v>
                  </c:pt>
                  <c:pt idx="5">
                    <c:v>B</c:v>
                  </c:pt>
                  <c:pt idx="6">
                    <c:v>C</c:v>
                  </c:pt>
                  <c:pt idx="7">
                    <c:v>C</c:v>
                  </c:pt>
                  <c:pt idx="8">
                    <c:v>C</c:v>
                  </c:pt>
                  <c:pt idx="9">
                    <c:v>A</c:v>
                  </c:pt>
                  <c:pt idx="10">
                    <c:v>A</c:v>
                  </c:pt>
                  <c:pt idx="11">
                    <c:v>A</c:v>
                  </c:pt>
                  <c:pt idx="12">
                    <c:v>B</c:v>
                  </c:pt>
                  <c:pt idx="13">
                    <c:v>C</c:v>
                  </c:pt>
                  <c:pt idx="14">
                    <c:v>C</c:v>
                  </c:pt>
                </c:lvl>
                <c:lvl>
                  <c:pt idx="0">
                    <c:v>English</c:v>
                  </c:pt>
                  <c:pt idx="1">
                    <c:v>Math</c:v>
                  </c:pt>
                  <c:pt idx="2">
                    <c:v>Science</c:v>
                  </c:pt>
                  <c:pt idx="3">
                    <c:v>English</c:v>
                  </c:pt>
                  <c:pt idx="4">
                    <c:v>Math</c:v>
                  </c:pt>
                  <c:pt idx="5">
                    <c:v>Science</c:v>
                  </c:pt>
                  <c:pt idx="6">
                    <c:v>English</c:v>
                  </c:pt>
                  <c:pt idx="7">
                    <c:v>Math</c:v>
                  </c:pt>
                  <c:pt idx="8">
                    <c:v>Science</c:v>
                  </c:pt>
                  <c:pt idx="9">
                    <c:v>English</c:v>
                  </c:pt>
                  <c:pt idx="10">
                    <c:v>Math</c:v>
                  </c:pt>
                  <c:pt idx="11">
                    <c:v>Science</c:v>
                  </c:pt>
                  <c:pt idx="12">
                    <c:v>English</c:v>
                  </c:pt>
                  <c:pt idx="13">
                    <c:v>Math</c:v>
                  </c:pt>
                  <c:pt idx="14">
                    <c:v>Science</c:v>
                  </c:pt>
                </c:lvl>
                <c:lvl>
                  <c:pt idx="0">
                    <c:v>Alice</c:v>
                  </c:pt>
                  <c:pt idx="3">
                    <c:v>Bob</c:v>
                  </c:pt>
                  <c:pt idx="6">
                    <c:v>Charlie</c:v>
                  </c:pt>
                  <c:pt idx="9">
                    <c:v>David</c:v>
                  </c:pt>
                  <c:pt idx="12">
                    <c:v>Eva</c:v>
                  </c:pt>
                </c:lvl>
              </c:multiLvlStrCache>
            </c:multiLvlStrRef>
          </c:cat>
          <c:val>
            <c:numRef>
              <c:f>Sheet4!$D$4:$D$18</c:f>
              <c:numCache>
                <c:formatCode>General</c:formatCode>
                <c:ptCount val="15"/>
                <c:pt idx="0">
                  <c:v>92</c:v>
                </c:pt>
                <c:pt idx="1">
                  <c:v>88</c:v>
                </c:pt>
                <c:pt idx="2">
                  <c:v>85</c:v>
                </c:pt>
                <c:pt idx="3">
                  <c:v>81</c:v>
                </c:pt>
                <c:pt idx="4">
                  <c:v>76</c:v>
                </c:pt>
                <c:pt idx="5">
                  <c:v>70</c:v>
                </c:pt>
                <c:pt idx="6">
                  <c:v>60</c:v>
                </c:pt>
                <c:pt idx="7">
                  <c:v>54</c:v>
                </c:pt>
                <c:pt idx="8">
                  <c:v>55</c:v>
                </c:pt>
                <c:pt idx="9">
                  <c:v>88</c:v>
                </c:pt>
                <c:pt idx="10">
                  <c:v>90</c:v>
                </c:pt>
                <c:pt idx="11">
                  <c:v>95</c:v>
                </c:pt>
                <c:pt idx="12">
                  <c:v>72</c:v>
                </c:pt>
                <c:pt idx="13">
                  <c:v>65</c:v>
                </c:pt>
                <c:pt idx="14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3C-43F6-97C4-E7332EB44B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7625935"/>
        <c:axId val="85342559"/>
        <c:axId val="206141903"/>
      </c:bar3DChart>
      <c:catAx>
        <c:axId val="77625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342559"/>
        <c:crosses val="autoZero"/>
        <c:auto val="1"/>
        <c:lblAlgn val="ctr"/>
        <c:lblOffset val="100"/>
        <c:noMultiLvlLbl val="0"/>
      </c:catAx>
      <c:valAx>
        <c:axId val="85342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25935"/>
        <c:crosses val="autoZero"/>
        <c:crossBetween val="between"/>
      </c:valAx>
      <c:serAx>
        <c:axId val="2061419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342559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495300</xdr:colOff>
      <xdr:row>0</xdr:row>
      <xdr:rowOff>0</xdr:rowOff>
    </xdr:from>
    <xdr:to>
      <xdr:col>15</xdr:col>
      <xdr:colOff>314326</xdr:colOff>
      <xdr:row>16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45C6FA-63D5-4976-A47D-E1D29C0053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18</xdr:row>
      <xdr:rowOff>23812</xdr:rowOff>
    </xdr:from>
    <xdr:to>
      <xdr:col>11</xdr:col>
      <xdr:colOff>447675</xdr:colOff>
      <xdr:row>32</xdr:row>
      <xdr:rowOff>100012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D118E66-08A7-49FB-BBA9-3BF3F3306E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ishnu K" refreshedDate="46048.931640393515" createdVersion="6" refreshedVersion="6" minRefreshableVersion="3" recordCount="15" xr:uid="{DD9DAE9C-EAAD-4FFC-A1BA-B43DFE38253E}">
  <cacheSource type="worksheet">
    <worksheetSource ref="A1:F16" sheet="Sheet1"/>
  </cacheSource>
  <cacheFields count="7">
    <cacheField name="Student ID" numFmtId="0">
      <sharedItems containsSemiMixedTypes="0" containsString="0" containsNumber="1" containsInteger="1" minValue="101" maxValue="105"/>
    </cacheField>
    <cacheField name="Name" numFmtId="0">
      <sharedItems count="5">
        <s v="Alice"/>
        <s v="Bob"/>
        <s v="Charlie"/>
        <s v="David"/>
        <s v="Eva"/>
      </sharedItems>
    </cacheField>
    <cacheField name="Class" numFmtId="0">
      <sharedItems/>
    </cacheField>
    <cacheField name="Subject" numFmtId="0">
      <sharedItems count="3">
        <s v="Math"/>
        <s v="English"/>
        <s v="Science"/>
      </sharedItems>
    </cacheField>
    <cacheField name="Marks" numFmtId="0">
      <sharedItems containsSemiMixedTypes="0" containsString="0" containsNumber="1" containsInteger="1" minValue="54" maxValue="95" count="14">
        <n v="88"/>
        <n v="76"/>
        <n v="54"/>
        <n v="92"/>
        <n v="81"/>
        <n v="60"/>
        <n v="85"/>
        <n v="70"/>
        <n v="55"/>
        <n v="90"/>
        <n v="65"/>
        <n v="72"/>
        <n v="95"/>
        <n v="68"/>
      </sharedItems>
    </cacheField>
    <cacheField name="Grade" numFmtId="0">
      <sharedItems count="3">
        <s v="A"/>
        <s v="B"/>
        <s v="C"/>
      </sharedItems>
      <fieldGroup par="6"/>
    </cacheField>
    <cacheField name="Grade2" numFmtId="0" databaseField="0">
      <fieldGroup base="5">
        <discretePr count="3">
          <x v="1"/>
          <x v="1"/>
          <x v="0"/>
        </discretePr>
        <groupItems count="2">
          <s v="C"/>
          <s v="Group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ishnu K" refreshedDate="46048.997303124997" createdVersion="6" refreshedVersion="6" minRefreshableVersion="3" recordCount="15" xr:uid="{5DE10230-BC80-4635-B68C-B778014A9261}">
  <cacheSource type="worksheet">
    <worksheetSource name="Table1"/>
  </cacheSource>
  <cacheFields count="7">
    <cacheField name="Student ID" numFmtId="0">
      <sharedItems containsSemiMixedTypes="0" containsString="0" containsNumber="1" containsInteger="1" minValue="101" maxValue="105"/>
    </cacheField>
    <cacheField name="Name" numFmtId="0">
      <sharedItems count="5">
        <s v="Alice"/>
        <s v="Bob"/>
        <s v="Charlie"/>
        <s v="David"/>
        <s v="Eva"/>
      </sharedItems>
    </cacheField>
    <cacheField name="Clss" numFmtId="0">
      <sharedItems containsSemiMixedTypes="0" containsString="0" containsNumber="1" containsInteger="1" minValue="10" maxValue="10"/>
    </cacheField>
    <cacheField name="Subject" numFmtId="0">
      <sharedItems count="3">
        <s v="Math"/>
        <s v="English"/>
        <s v="Science"/>
      </sharedItems>
    </cacheField>
    <cacheField name="Marks" numFmtId="0">
      <sharedItems containsSemiMixedTypes="0" containsString="0" containsNumber="1" containsInteger="1" minValue="54" maxValue="95"/>
    </cacheField>
    <cacheField name="Grade" numFmtId="0">
      <sharedItems count="3">
        <s v="A"/>
        <s v="B"/>
        <s v="C"/>
      </sharedItems>
    </cacheField>
    <cacheField name="Column1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n v="101"/>
    <x v="0"/>
    <s v="10A"/>
    <x v="0"/>
    <x v="0"/>
    <x v="0"/>
  </r>
  <r>
    <n v="102"/>
    <x v="1"/>
    <s v="10A"/>
    <x v="0"/>
    <x v="1"/>
    <x v="1"/>
  </r>
  <r>
    <n v="103"/>
    <x v="2"/>
    <s v="10A"/>
    <x v="0"/>
    <x v="2"/>
    <x v="2"/>
  </r>
  <r>
    <n v="101"/>
    <x v="0"/>
    <s v="10A"/>
    <x v="1"/>
    <x v="3"/>
    <x v="0"/>
  </r>
  <r>
    <n v="102"/>
    <x v="1"/>
    <s v="10A"/>
    <x v="1"/>
    <x v="4"/>
    <x v="1"/>
  </r>
  <r>
    <n v="103"/>
    <x v="2"/>
    <s v="10A"/>
    <x v="1"/>
    <x v="5"/>
    <x v="2"/>
  </r>
  <r>
    <n v="101"/>
    <x v="0"/>
    <s v="10A"/>
    <x v="2"/>
    <x v="6"/>
    <x v="0"/>
  </r>
  <r>
    <n v="102"/>
    <x v="1"/>
    <s v="10A"/>
    <x v="2"/>
    <x v="7"/>
    <x v="1"/>
  </r>
  <r>
    <n v="103"/>
    <x v="2"/>
    <s v="10A"/>
    <x v="2"/>
    <x v="8"/>
    <x v="2"/>
  </r>
  <r>
    <n v="104"/>
    <x v="3"/>
    <s v="10B"/>
    <x v="0"/>
    <x v="9"/>
    <x v="0"/>
  </r>
  <r>
    <n v="105"/>
    <x v="4"/>
    <s v="10B"/>
    <x v="0"/>
    <x v="10"/>
    <x v="2"/>
  </r>
  <r>
    <n v="104"/>
    <x v="3"/>
    <s v="10B"/>
    <x v="1"/>
    <x v="0"/>
    <x v="0"/>
  </r>
  <r>
    <n v="105"/>
    <x v="4"/>
    <s v="10B"/>
    <x v="1"/>
    <x v="11"/>
    <x v="1"/>
  </r>
  <r>
    <n v="104"/>
    <x v="3"/>
    <s v="10B"/>
    <x v="2"/>
    <x v="12"/>
    <x v="0"/>
  </r>
  <r>
    <n v="105"/>
    <x v="4"/>
    <s v="10B"/>
    <x v="2"/>
    <x v="13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n v="101"/>
    <x v="0"/>
    <n v="10"/>
    <x v="0"/>
    <n v="88"/>
    <x v="0"/>
    <s v="pass"/>
  </r>
  <r>
    <n v="101"/>
    <x v="0"/>
    <n v="10"/>
    <x v="1"/>
    <n v="92"/>
    <x v="0"/>
    <s v="pass"/>
  </r>
  <r>
    <n v="101"/>
    <x v="0"/>
    <n v="10"/>
    <x v="2"/>
    <n v="85"/>
    <x v="0"/>
    <s v="pass"/>
  </r>
  <r>
    <n v="102"/>
    <x v="1"/>
    <n v="10"/>
    <x v="0"/>
    <n v="76"/>
    <x v="1"/>
    <s v="pass"/>
  </r>
  <r>
    <n v="102"/>
    <x v="1"/>
    <n v="10"/>
    <x v="1"/>
    <n v="81"/>
    <x v="1"/>
    <s v="pass"/>
  </r>
  <r>
    <n v="102"/>
    <x v="1"/>
    <n v="10"/>
    <x v="2"/>
    <n v="70"/>
    <x v="1"/>
    <s v="pass"/>
  </r>
  <r>
    <n v="103"/>
    <x v="2"/>
    <n v="10"/>
    <x v="0"/>
    <n v="54"/>
    <x v="2"/>
    <s v="fail"/>
  </r>
  <r>
    <n v="103"/>
    <x v="2"/>
    <n v="10"/>
    <x v="1"/>
    <n v="60"/>
    <x v="2"/>
    <s v="pass"/>
  </r>
  <r>
    <n v="103"/>
    <x v="2"/>
    <n v="10"/>
    <x v="2"/>
    <n v="55"/>
    <x v="2"/>
    <s v="fail"/>
  </r>
  <r>
    <n v="104"/>
    <x v="3"/>
    <n v="10"/>
    <x v="0"/>
    <n v="90"/>
    <x v="0"/>
    <s v="pass"/>
  </r>
  <r>
    <n v="104"/>
    <x v="3"/>
    <n v="10"/>
    <x v="1"/>
    <n v="88"/>
    <x v="0"/>
    <s v="pass"/>
  </r>
  <r>
    <n v="104"/>
    <x v="3"/>
    <n v="10"/>
    <x v="2"/>
    <n v="95"/>
    <x v="0"/>
    <s v="pass"/>
  </r>
  <r>
    <n v="105"/>
    <x v="4"/>
    <n v="10"/>
    <x v="0"/>
    <n v="65"/>
    <x v="2"/>
    <s v="pass"/>
  </r>
  <r>
    <n v="105"/>
    <x v="4"/>
    <n v="10"/>
    <x v="1"/>
    <n v="72"/>
    <x v="1"/>
    <s v="pass"/>
  </r>
  <r>
    <n v="105"/>
    <x v="4"/>
    <n v="10"/>
    <x v="2"/>
    <n v="68"/>
    <x v="2"/>
    <s v="pas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F044E4-F339-412A-B362-9394C5CBB2FA}" name="PivotTable1" cacheId="2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3" firstHeaderRow="1" firstDataRow="1" firstDataCol="1"/>
  <pivotFields count="7">
    <pivotField showAll="0"/>
    <pivotField axis="axisRow" showAll="0" measureFilter="1">
      <items count="6">
        <item x="0"/>
        <item x="1"/>
        <item x="2"/>
        <item x="3"/>
        <item x="4"/>
        <item t="default"/>
      </items>
    </pivotField>
    <pivotField showAll="0"/>
    <pivotField showAll="0">
      <items count="4">
        <item x="1"/>
        <item x="0"/>
        <item x="2"/>
        <item t="default"/>
      </items>
    </pivotField>
    <pivotField dataField="1" showAll="0">
      <items count="15">
        <item x="2"/>
        <item x="8"/>
        <item x="5"/>
        <item x="10"/>
        <item x="13"/>
        <item x="7"/>
        <item x="11"/>
        <item x="1"/>
        <item x="4"/>
        <item x="6"/>
        <item x="0"/>
        <item x="9"/>
        <item x="3"/>
        <item x="12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>
      <items count="3">
        <item x="1"/>
        <item n="group2" x="0"/>
        <item t="default"/>
      </items>
    </pivotField>
  </pivotFields>
  <rowFields count="2">
    <field x="5"/>
    <field x="1"/>
  </rowFields>
  <rowItems count="10">
    <i>
      <x/>
    </i>
    <i r="1">
      <x/>
    </i>
    <i r="1">
      <x v="3"/>
    </i>
    <i>
      <x v="1"/>
    </i>
    <i r="1">
      <x v="1"/>
    </i>
    <i r="1">
      <x v="4"/>
    </i>
    <i>
      <x v="2"/>
    </i>
    <i r="1">
      <x v="2"/>
    </i>
    <i r="1">
      <x v="4"/>
    </i>
    <i t="grand">
      <x/>
    </i>
  </rowItems>
  <colItems count="1">
    <i/>
  </colItems>
  <dataFields count="1">
    <dataField name="Sum of Marks" fld="4" baseField="0" baseItem="0"/>
  </dataFields>
  <pivotTableStyleInfo name="PivotStyleLight16" showRowHeaders="1" showColHeaders="1" showRowStripes="0" showColStripes="0" showLastColumn="1"/>
  <filters count="1">
    <filter fld="1" type="valueGreaterThanOrEqual" evalOrder="-1" id="4" iMeasureFld="0">
      <autoFilter ref="A1">
        <filterColumn colId="0">
          <customFilters>
            <customFilter operator="greaterThanOrEqual" val="4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7F18CD-79C6-42EE-AC51-FBE07A273B65}" name="PivotTable9" cacheId="26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 chartFormat="3">
  <location ref="A3:D18" firstHeaderRow="1" firstDataRow="1" firstDataCol="3"/>
  <pivotFields count="7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">
        <item x="0"/>
        <item x="1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1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"/>
    <field x="3"/>
    <field x="5"/>
  </rowFields>
  <rowItems count="15">
    <i>
      <x/>
      <x/>
      <x/>
    </i>
    <i r="1">
      <x v="1"/>
      <x/>
    </i>
    <i r="1">
      <x v="2"/>
      <x/>
    </i>
    <i>
      <x v="1"/>
      <x/>
      <x v="1"/>
    </i>
    <i r="1">
      <x v="1"/>
      <x v="1"/>
    </i>
    <i r="1">
      <x v="2"/>
      <x v="1"/>
    </i>
    <i>
      <x v="2"/>
      <x/>
      <x v="2"/>
    </i>
    <i r="1">
      <x v="1"/>
      <x v="2"/>
    </i>
    <i r="1">
      <x v="2"/>
      <x v="2"/>
    </i>
    <i>
      <x v="3"/>
      <x/>
      <x/>
    </i>
    <i r="1">
      <x v="1"/>
      <x/>
    </i>
    <i r="1">
      <x v="2"/>
      <x/>
    </i>
    <i>
      <x v="4"/>
      <x/>
      <x v="1"/>
    </i>
    <i r="1">
      <x v="1"/>
      <x v="2"/>
    </i>
    <i r="1">
      <x v="2"/>
      <x v="2"/>
    </i>
  </rowItems>
  <colItems count="1">
    <i/>
  </colItems>
  <dataFields count="1">
    <dataField name="Sum of Marks" fld="4" baseField="0" baseItem="0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E45629-ECC8-4C6D-8C9F-ACF4EC09738F}" name="Table1" displayName="Table1" ref="A1:H16" totalsRowShown="0" headerRowDxfId="12" dataDxfId="11" headerRowBorderDxfId="9" tableBorderDxfId="10" totalsRowBorderDxfId="8">
  <autoFilter ref="A1:H16" xr:uid="{A8241BF2-0358-4841-B9DA-45FA642E53B7}"/>
  <sortState ref="A2:F16">
    <sortCondition ref="A1:A16"/>
  </sortState>
  <tableColumns count="8">
    <tableColumn id="1" xr3:uid="{6CDD4AF9-B7EB-4E68-B3AB-FBA049C4451F}" name="Student ID" dataDxfId="7"/>
    <tableColumn id="2" xr3:uid="{4160E4F1-4110-4A08-9F81-3105C20823D2}" name="Name" dataDxfId="0"/>
    <tableColumn id="3" xr3:uid="{92B09F48-DA02-42BB-8F65-0EFF9FC36CA3}" name="Clss" dataDxfId="6"/>
    <tableColumn id="4" xr3:uid="{C64FDB78-2519-40EA-96D3-39120F2A6F50}" name="Subject" dataDxfId="5"/>
    <tableColumn id="5" xr3:uid="{C9C9EEAD-E3C0-445A-BF29-A093969F1F9A}" name="Marks" dataDxfId="4"/>
    <tableColumn id="6" xr3:uid="{896FE52E-5E4C-4D79-96C5-BEFBA6055860}" name="Grade" dataDxfId="3"/>
    <tableColumn id="7" xr3:uid="{BEA92D24-E719-42A4-A8A8-09C17F1BE213}" name="Column1" dataDxfId="2">
      <calculatedColumnFormula>IF(E2&gt;=60,"pass","fail")</calculatedColumnFormula>
    </tableColumn>
    <tableColumn id="14" xr3:uid="{9DB2AA58-AA5E-48F2-9DB8-6A5C2D0DBEAB}" name="helper" dataDxfId="1">
      <calculatedColumnFormula>B2&amp;D2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A1735-4736-4F07-B925-B422D52B3EEF}">
  <sheetPr codeName="Sheet2"/>
  <dimension ref="A3:B13"/>
  <sheetViews>
    <sheetView tabSelected="1" workbookViewId="0">
      <selection activeCell="A4" sqref="A4 A7 A10"/>
      <pivotSelection pane="bottomRight" showHeader="1" activeRow="3" click="1" r:id="rId1">
        <pivotArea dataOnly="0" labelOnly="1" fieldPosition="0">
          <references count="1">
            <reference field="5" count="0"/>
          </references>
        </pivotArea>
      </pivotSelection>
    </sheetView>
  </sheetViews>
  <sheetFormatPr defaultRowHeight="15" x14ac:dyDescent="0.25"/>
  <cols>
    <col min="1" max="2" width="13.140625" bestFit="1" customWidth="1"/>
    <col min="3" max="3" width="5.7109375" bestFit="1" customWidth="1"/>
    <col min="4" max="4" width="7.7109375" bestFit="1" customWidth="1"/>
    <col min="5" max="5" width="11.28515625" bestFit="1" customWidth="1"/>
  </cols>
  <sheetData>
    <row r="3" spans="1:2" x14ac:dyDescent="0.25">
      <c r="A3" s="4" t="s">
        <v>19</v>
      </c>
      <c r="B3" t="s">
        <v>21</v>
      </c>
    </row>
    <row r="4" spans="1:2" x14ac:dyDescent="0.25">
      <c r="A4" s="5" t="s">
        <v>16</v>
      </c>
      <c r="B4" s="6">
        <v>538</v>
      </c>
    </row>
    <row r="5" spans="1:2" x14ac:dyDescent="0.25">
      <c r="A5" s="7" t="s">
        <v>6</v>
      </c>
      <c r="B5" s="6">
        <v>265</v>
      </c>
    </row>
    <row r="6" spans="1:2" x14ac:dyDescent="0.25">
      <c r="A6" s="7" t="s">
        <v>9</v>
      </c>
      <c r="B6" s="6">
        <v>273</v>
      </c>
    </row>
    <row r="7" spans="1:2" x14ac:dyDescent="0.25">
      <c r="A7" s="5" t="s">
        <v>17</v>
      </c>
      <c r="B7" s="6">
        <v>299</v>
      </c>
    </row>
    <row r="8" spans="1:2" x14ac:dyDescent="0.25">
      <c r="A8" s="7" t="s">
        <v>7</v>
      </c>
      <c r="B8" s="6">
        <v>227</v>
      </c>
    </row>
    <row r="9" spans="1:2" x14ac:dyDescent="0.25">
      <c r="A9" s="7" t="s">
        <v>10</v>
      </c>
      <c r="B9" s="6">
        <v>72</v>
      </c>
    </row>
    <row r="10" spans="1:2" x14ac:dyDescent="0.25">
      <c r="A10" s="5" t="s">
        <v>18</v>
      </c>
      <c r="B10" s="6">
        <v>302</v>
      </c>
    </row>
    <row r="11" spans="1:2" x14ac:dyDescent="0.25">
      <c r="A11" s="7" t="s">
        <v>8</v>
      </c>
      <c r="B11" s="6">
        <v>169</v>
      </c>
    </row>
    <row r="12" spans="1:2" x14ac:dyDescent="0.25">
      <c r="A12" s="7" t="s">
        <v>10</v>
      </c>
      <c r="B12" s="6">
        <v>133</v>
      </c>
    </row>
    <row r="13" spans="1:2" x14ac:dyDescent="0.25">
      <c r="A13" s="5" t="s">
        <v>20</v>
      </c>
      <c r="B13" s="6">
        <v>1139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1372B-914D-4A50-B39E-7C3FCD577802}">
  <sheetPr codeName="Sheet3"/>
  <dimension ref="A3:D18"/>
  <sheetViews>
    <sheetView zoomScaleNormal="100" zoomScaleSheetLayoutView="98" workbookViewId="0">
      <selection activeCell="Q27" sqref="Q27"/>
    </sheetView>
  </sheetViews>
  <sheetFormatPr defaultRowHeight="15" x14ac:dyDescent="0.25"/>
  <cols>
    <col min="1" max="1" width="8.5703125" bestFit="1" customWidth="1"/>
    <col min="2" max="2" width="9.85546875" bestFit="1" customWidth="1"/>
    <col min="3" max="3" width="8.7109375" bestFit="1" customWidth="1"/>
    <col min="4" max="4" width="13.140625" bestFit="1" customWidth="1"/>
  </cols>
  <sheetData>
    <row r="3" spans="1:4" x14ac:dyDescent="0.25">
      <c r="A3" s="4" t="s">
        <v>1</v>
      </c>
      <c r="B3" s="4" t="s">
        <v>3</v>
      </c>
      <c r="C3" s="4" t="s">
        <v>5</v>
      </c>
      <c r="D3" t="s">
        <v>21</v>
      </c>
    </row>
    <row r="4" spans="1:4" x14ac:dyDescent="0.25">
      <c r="A4" t="s">
        <v>6</v>
      </c>
      <c r="B4" t="s">
        <v>14</v>
      </c>
      <c r="C4" t="s">
        <v>16</v>
      </c>
      <c r="D4" s="6">
        <v>92</v>
      </c>
    </row>
    <row r="5" spans="1:4" x14ac:dyDescent="0.25">
      <c r="A5" t="s">
        <v>6</v>
      </c>
      <c r="B5" t="s">
        <v>13</v>
      </c>
      <c r="C5" t="s">
        <v>16</v>
      </c>
      <c r="D5" s="6">
        <v>88</v>
      </c>
    </row>
    <row r="6" spans="1:4" x14ac:dyDescent="0.25">
      <c r="A6" t="s">
        <v>6</v>
      </c>
      <c r="B6" t="s">
        <v>15</v>
      </c>
      <c r="C6" t="s">
        <v>16</v>
      </c>
      <c r="D6" s="6">
        <v>85</v>
      </c>
    </row>
    <row r="7" spans="1:4" x14ac:dyDescent="0.25">
      <c r="A7" t="s">
        <v>7</v>
      </c>
      <c r="B7" t="s">
        <v>14</v>
      </c>
      <c r="C7" t="s">
        <v>17</v>
      </c>
      <c r="D7" s="6">
        <v>81</v>
      </c>
    </row>
    <row r="8" spans="1:4" x14ac:dyDescent="0.25">
      <c r="A8" t="s">
        <v>7</v>
      </c>
      <c r="B8" t="s">
        <v>13</v>
      </c>
      <c r="C8" t="s">
        <v>17</v>
      </c>
      <c r="D8" s="6">
        <v>76</v>
      </c>
    </row>
    <row r="9" spans="1:4" x14ac:dyDescent="0.25">
      <c r="A9" t="s">
        <v>7</v>
      </c>
      <c r="B9" t="s">
        <v>15</v>
      </c>
      <c r="C9" t="s">
        <v>17</v>
      </c>
      <c r="D9" s="6">
        <v>70</v>
      </c>
    </row>
    <row r="10" spans="1:4" x14ac:dyDescent="0.25">
      <c r="A10" t="s">
        <v>8</v>
      </c>
      <c r="B10" t="s">
        <v>14</v>
      </c>
      <c r="C10" t="s">
        <v>18</v>
      </c>
      <c r="D10" s="6">
        <v>60</v>
      </c>
    </row>
    <row r="11" spans="1:4" x14ac:dyDescent="0.25">
      <c r="A11" t="s">
        <v>8</v>
      </c>
      <c r="B11" t="s">
        <v>13</v>
      </c>
      <c r="C11" t="s">
        <v>18</v>
      </c>
      <c r="D11" s="6">
        <v>54</v>
      </c>
    </row>
    <row r="12" spans="1:4" x14ac:dyDescent="0.25">
      <c r="A12" t="s">
        <v>8</v>
      </c>
      <c r="B12" t="s">
        <v>15</v>
      </c>
      <c r="C12" t="s">
        <v>18</v>
      </c>
      <c r="D12" s="6">
        <v>55</v>
      </c>
    </row>
    <row r="13" spans="1:4" x14ac:dyDescent="0.25">
      <c r="A13" t="s">
        <v>9</v>
      </c>
      <c r="B13" t="s">
        <v>14</v>
      </c>
      <c r="C13" t="s">
        <v>16</v>
      </c>
      <c r="D13" s="6">
        <v>88</v>
      </c>
    </row>
    <row r="14" spans="1:4" x14ac:dyDescent="0.25">
      <c r="A14" t="s">
        <v>9</v>
      </c>
      <c r="B14" t="s">
        <v>13</v>
      </c>
      <c r="C14" t="s">
        <v>16</v>
      </c>
      <c r="D14" s="6">
        <v>90</v>
      </c>
    </row>
    <row r="15" spans="1:4" x14ac:dyDescent="0.25">
      <c r="A15" t="s">
        <v>9</v>
      </c>
      <c r="B15" t="s">
        <v>15</v>
      </c>
      <c r="C15" t="s">
        <v>16</v>
      </c>
      <c r="D15" s="6">
        <v>95</v>
      </c>
    </row>
    <row r="16" spans="1:4" x14ac:dyDescent="0.25">
      <c r="A16" t="s">
        <v>10</v>
      </c>
      <c r="B16" t="s">
        <v>14</v>
      </c>
      <c r="C16" t="s">
        <v>17</v>
      </c>
      <c r="D16" s="6">
        <v>72</v>
      </c>
    </row>
    <row r="17" spans="1:4" x14ac:dyDescent="0.25">
      <c r="A17" t="s">
        <v>10</v>
      </c>
      <c r="B17" t="s">
        <v>13</v>
      </c>
      <c r="C17" t="s">
        <v>18</v>
      </c>
      <c r="D17" s="6">
        <v>65</v>
      </c>
    </row>
    <row r="18" spans="1:4" x14ac:dyDescent="0.25">
      <c r="A18" t="s">
        <v>10</v>
      </c>
      <c r="B18" t="s">
        <v>15</v>
      </c>
      <c r="C18" t="s">
        <v>18</v>
      </c>
      <c r="D18" s="6">
        <v>68</v>
      </c>
    </row>
  </sheetData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F387B-91DA-419C-BB0F-C313A9400FB6}">
  <sheetPr codeName="Sheet4"/>
  <dimension ref="A1:H16"/>
  <sheetViews>
    <sheetView workbookViewId="0">
      <selection activeCell="H20" sqref="H20"/>
    </sheetView>
  </sheetViews>
  <sheetFormatPr defaultRowHeight="15" x14ac:dyDescent="0.25"/>
  <cols>
    <col min="1" max="1" width="14.85546875" bestFit="1" customWidth="1"/>
    <col min="2" max="2" width="10.85546875" bestFit="1" customWidth="1"/>
    <col min="3" max="3" width="9" bestFit="1" customWidth="1"/>
    <col min="4" max="4" width="12.140625" bestFit="1" customWidth="1"/>
    <col min="5" max="5" width="8.7109375" bestFit="1" customWidth="1"/>
    <col min="6" max="6" width="11" bestFit="1" customWidth="1"/>
    <col min="7" max="7" width="13.42578125" bestFit="1" customWidth="1"/>
    <col min="8" max="8" width="14.140625" bestFit="1" customWidth="1"/>
    <col min="9" max="9" width="13.42578125" bestFit="1" customWidth="1"/>
    <col min="10" max="10" width="5.5703125" bestFit="1" customWidth="1"/>
    <col min="11" max="11" width="5.85546875" bestFit="1" customWidth="1"/>
  </cols>
  <sheetData>
    <row r="1" spans="1:8" x14ac:dyDescent="0.25">
      <c r="A1" s="13" t="s">
        <v>0</v>
      </c>
      <c r="B1" s="14" t="s">
        <v>1</v>
      </c>
      <c r="C1" s="14" t="s">
        <v>29</v>
      </c>
      <c r="D1" s="14" t="s">
        <v>3</v>
      </c>
      <c r="E1" s="15" t="s">
        <v>4</v>
      </c>
      <c r="F1" s="16" t="s">
        <v>5</v>
      </c>
      <c r="G1" s="14" t="s">
        <v>28</v>
      </c>
      <c r="H1" s="14" t="s">
        <v>30</v>
      </c>
    </row>
    <row r="2" spans="1:8" x14ac:dyDescent="0.25">
      <c r="A2" s="11">
        <v>101</v>
      </c>
      <c r="B2" s="9" t="s">
        <v>6</v>
      </c>
      <c r="C2" s="8">
        <v>10</v>
      </c>
      <c r="D2" s="8" t="s">
        <v>13</v>
      </c>
      <c r="E2" s="8">
        <v>88</v>
      </c>
      <c r="F2" s="12" t="s">
        <v>16</v>
      </c>
      <c r="G2" s="21" t="str">
        <f t="shared" ref="G2:G16" si="0">IF(E2&gt;=60,"pass","fail")</f>
        <v>pass</v>
      </c>
      <c r="H2" s="21" t="str">
        <f>B2&amp;D2</f>
        <v>AliceMath</v>
      </c>
    </row>
    <row r="3" spans="1:8" x14ac:dyDescent="0.25">
      <c r="A3" s="11">
        <v>101</v>
      </c>
      <c r="B3" s="9" t="s">
        <v>6</v>
      </c>
      <c r="C3" s="8">
        <v>10</v>
      </c>
      <c r="D3" s="8" t="s">
        <v>14</v>
      </c>
      <c r="E3" s="8">
        <v>92</v>
      </c>
      <c r="F3" s="12" t="s">
        <v>16</v>
      </c>
      <c r="G3" s="8" t="str">
        <f t="shared" si="0"/>
        <v>pass</v>
      </c>
      <c r="H3" s="8" t="str">
        <f>B3&amp;D3</f>
        <v>AliceEnglish</v>
      </c>
    </row>
    <row r="4" spans="1:8" x14ac:dyDescent="0.25">
      <c r="A4" s="11">
        <v>101</v>
      </c>
      <c r="B4" s="9" t="s">
        <v>6</v>
      </c>
      <c r="C4" s="8">
        <v>10</v>
      </c>
      <c r="D4" s="8" t="s">
        <v>15</v>
      </c>
      <c r="E4" s="8">
        <v>85</v>
      </c>
      <c r="F4" s="12" t="s">
        <v>16</v>
      </c>
      <c r="G4" s="8" t="str">
        <f t="shared" si="0"/>
        <v>pass</v>
      </c>
      <c r="H4" s="8" t="str">
        <f>B4&amp;D4</f>
        <v>AliceScience</v>
      </c>
    </row>
    <row r="5" spans="1:8" x14ac:dyDescent="0.25">
      <c r="A5" s="11">
        <v>102</v>
      </c>
      <c r="B5" s="9" t="s">
        <v>7</v>
      </c>
      <c r="C5" s="8">
        <v>10</v>
      </c>
      <c r="D5" s="8" t="s">
        <v>13</v>
      </c>
      <c r="E5" s="8">
        <v>76</v>
      </c>
      <c r="F5" s="12" t="s">
        <v>17</v>
      </c>
      <c r="G5" s="8" t="str">
        <f t="shared" si="0"/>
        <v>pass</v>
      </c>
      <c r="H5" s="8" t="str">
        <f>B5&amp;D5</f>
        <v>BobMath</v>
      </c>
    </row>
    <row r="6" spans="1:8" x14ac:dyDescent="0.25">
      <c r="A6" s="11">
        <v>102</v>
      </c>
      <c r="B6" s="9" t="s">
        <v>7</v>
      </c>
      <c r="C6" s="8">
        <v>10</v>
      </c>
      <c r="D6" s="8" t="s">
        <v>14</v>
      </c>
      <c r="E6" s="8">
        <v>81</v>
      </c>
      <c r="F6" s="12" t="s">
        <v>17</v>
      </c>
      <c r="G6" s="8" t="str">
        <f t="shared" si="0"/>
        <v>pass</v>
      </c>
      <c r="H6" s="8" t="str">
        <f>B6&amp;D6</f>
        <v>BobEnglish</v>
      </c>
    </row>
    <row r="7" spans="1:8" x14ac:dyDescent="0.25">
      <c r="A7" s="11">
        <v>102</v>
      </c>
      <c r="B7" s="9" t="s">
        <v>7</v>
      </c>
      <c r="C7" s="8">
        <v>10</v>
      </c>
      <c r="D7" s="8" t="s">
        <v>15</v>
      </c>
      <c r="E7" s="8">
        <v>70</v>
      </c>
      <c r="F7" s="12" t="s">
        <v>17</v>
      </c>
      <c r="G7" s="8" t="str">
        <f t="shared" si="0"/>
        <v>pass</v>
      </c>
      <c r="H7" s="8" t="str">
        <f>B7&amp;D7</f>
        <v>BobScience</v>
      </c>
    </row>
    <row r="8" spans="1:8" x14ac:dyDescent="0.25">
      <c r="A8" s="11">
        <v>103</v>
      </c>
      <c r="B8" s="9" t="s">
        <v>8</v>
      </c>
      <c r="C8" s="8">
        <v>10</v>
      </c>
      <c r="D8" s="8" t="s">
        <v>13</v>
      </c>
      <c r="E8" s="8">
        <v>54</v>
      </c>
      <c r="F8" s="12" t="s">
        <v>18</v>
      </c>
      <c r="G8" s="8" t="str">
        <f t="shared" si="0"/>
        <v>fail</v>
      </c>
      <c r="H8" s="8" t="str">
        <f>B8&amp;D8</f>
        <v>CharlieMath</v>
      </c>
    </row>
    <row r="9" spans="1:8" x14ac:dyDescent="0.25">
      <c r="A9" s="11">
        <v>103</v>
      </c>
      <c r="B9" s="9" t="s">
        <v>8</v>
      </c>
      <c r="C9" s="8">
        <v>10</v>
      </c>
      <c r="D9" s="8" t="s">
        <v>14</v>
      </c>
      <c r="E9" s="8">
        <v>60</v>
      </c>
      <c r="F9" s="12" t="s">
        <v>18</v>
      </c>
      <c r="G9" s="8" t="str">
        <f t="shared" si="0"/>
        <v>pass</v>
      </c>
      <c r="H9" s="8" t="str">
        <f>B9&amp;D9</f>
        <v>CharlieEnglish</v>
      </c>
    </row>
    <row r="10" spans="1:8" x14ac:dyDescent="0.25">
      <c r="A10" s="11">
        <v>103</v>
      </c>
      <c r="B10" s="9" t="s">
        <v>8</v>
      </c>
      <c r="C10" s="8">
        <v>10</v>
      </c>
      <c r="D10" s="8" t="s">
        <v>15</v>
      </c>
      <c r="E10" s="8">
        <v>55</v>
      </c>
      <c r="F10" s="12" t="s">
        <v>18</v>
      </c>
      <c r="G10" s="8" t="str">
        <f t="shared" si="0"/>
        <v>fail</v>
      </c>
      <c r="H10" s="8" t="str">
        <f>B10&amp;D10</f>
        <v>CharlieScience</v>
      </c>
    </row>
    <row r="11" spans="1:8" x14ac:dyDescent="0.25">
      <c r="A11" s="11">
        <v>104</v>
      </c>
      <c r="B11" s="9" t="s">
        <v>9</v>
      </c>
      <c r="C11" s="8">
        <v>10</v>
      </c>
      <c r="D11" s="8" t="s">
        <v>13</v>
      </c>
      <c r="E11" s="8">
        <v>90</v>
      </c>
      <c r="F11" s="12" t="s">
        <v>16</v>
      </c>
      <c r="G11" s="8" t="str">
        <f t="shared" si="0"/>
        <v>pass</v>
      </c>
      <c r="H11" s="8" t="str">
        <f>B11&amp;D11</f>
        <v>DavidMath</v>
      </c>
    </row>
    <row r="12" spans="1:8" x14ac:dyDescent="0.25">
      <c r="A12" s="11">
        <v>104</v>
      </c>
      <c r="B12" s="9" t="s">
        <v>9</v>
      </c>
      <c r="C12" s="8">
        <v>10</v>
      </c>
      <c r="D12" s="8" t="s">
        <v>14</v>
      </c>
      <c r="E12" s="8">
        <v>88</v>
      </c>
      <c r="F12" s="12" t="s">
        <v>16</v>
      </c>
      <c r="G12" s="8" t="str">
        <f t="shared" si="0"/>
        <v>pass</v>
      </c>
      <c r="H12" s="8" t="str">
        <f>B12&amp;D12</f>
        <v>DavidEnglish</v>
      </c>
    </row>
    <row r="13" spans="1:8" x14ac:dyDescent="0.25">
      <c r="A13" s="11">
        <v>104</v>
      </c>
      <c r="B13" s="9" t="s">
        <v>9</v>
      </c>
      <c r="C13" s="8">
        <v>10</v>
      </c>
      <c r="D13" s="8" t="s">
        <v>15</v>
      </c>
      <c r="E13" s="8">
        <v>95</v>
      </c>
      <c r="F13" s="12" t="s">
        <v>16</v>
      </c>
      <c r="G13" s="8" t="str">
        <f t="shared" si="0"/>
        <v>pass</v>
      </c>
      <c r="H13" s="8" t="str">
        <f>B13&amp;D13</f>
        <v>DavidScience</v>
      </c>
    </row>
    <row r="14" spans="1:8" x14ac:dyDescent="0.25">
      <c r="A14" s="11">
        <v>105</v>
      </c>
      <c r="B14" s="9" t="s">
        <v>10</v>
      </c>
      <c r="C14" s="8">
        <v>10</v>
      </c>
      <c r="D14" s="8" t="s">
        <v>13</v>
      </c>
      <c r="E14" s="8">
        <v>65</v>
      </c>
      <c r="F14" s="12" t="s">
        <v>18</v>
      </c>
      <c r="G14" s="8" t="str">
        <f t="shared" si="0"/>
        <v>pass</v>
      </c>
      <c r="H14" s="8" t="str">
        <f>B14&amp;D14</f>
        <v>EvaMath</v>
      </c>
    </row>
    <row r="15" spans="1:8" x14ac:dyDescent="0.25">
      <c r="A15" s="11">
        <v>105</v>
      </c>
      <c r="B15" s="9" t="s">
        <v>10</v>
      </c>
      <c r="C15" s="8">
        <v>10</v>
      </c>
      <c r="D15" s="8" t="s">
        <v>14</v>
      </c>
      <c r="E15" s="8">
        <v>72</v>
      </c>
      <c r="F15" s="12" t="s">
        <v>17</v>
      </c>
      <c r="G15" s="8" t="str">
        <f t="shared" si="0"/>
        <v>pass</v>
      </c>
      <c r="H15" s="8" t="str">
        <f>B15&amp;D15</f>
        <v>EvaEnglish</v>
      </c>
    </row>
    <row r="16" spans="1:8" x14ac:dyDescent="0.25">
      <c r="A16" s="17">
        <v>105</v>
      </c>
      <c r="B16" s="18" t="s">
        <v>10</v>
      </c>
      <c r="C16" s="19">
        <v>10</v>
      </c>
      <c r="D16" s="19" t="s">
        <v>15</v>
      </c>
      <c r="E16" s="19">
        <v>68</v>
      </c>
      <c r="F16" s="20" t="s">
        <v>18</v>
      </c>
      <c r="G16" s="19" t="str">
        <f t="shared" si="0"/>
        <v>pass</v>
      </c>
      <c r="H16" s="19" t="str">
        <f>B16&amp;D16</f>
        <v>EvaScience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23"/>
  <sheetViews>
    <sheetView workbookViewId="0">
      <selection activeCell="P12" sqref="P12"/>
    </sheetView>
  </sheetViews>
  <sheetFormatPr defaultRowHeight="15" x14ac:dyDescent="0.25"/>
  <cols>
    <col min="1" max="1" width="10.28515625" bestFit="1" customWidth="1"/>
    <col min="2" max="2" width="7" bestFit="1" customWidth="1"/>
    <col min="3" max="3" width="7.28515625" bestFit="1" customWidth="1"/>
    <col min="4" max="4" width="7.7109375" bestFit="1" customWidth="1"/>
    <col min="5" max="5" width="6.42578125" bestFit="1" customWidth="1"/>
    <col min="6" max="6" width="7.28515625" bestFit="1" customWidth="1"/>
    <col min="7" max="7" width="7.7109375" bestFit="1" customWidth="1"/>
    <col min="8" max="8" width="7.28515625" bestFit="1" customWidth="1"/>
    <col min="9" max="9" width="15" bestFit="1" customWidth="1"/>
    <col min="10" max="10" width="7.7109375" bestFit="1" customWidth="1"/>
    <col min="11" max="11" width="5.85546875" bestFit="1" customWidth="1"/>
    <col min="12" max="12" width="7.28515625" bestFit="1" customWidth="1"/>
    <col min="13" max="13" width="7.7109375" bestFit="1" customWidth="1"/>
    <col min="14" max="14" width="5.5703125" bestFit="1" customWidth="1"/>
    <col min="15" max="15" width="7.28515625" bestFit="1" customWidth="1"/>
    <col min="16" max="16" width="7.7109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spans="1:9" x14ac:dyDescent="0.25">
      <c r="A2" s="8">
        <v>101</v>
      </c>
      <c r="B2" s="9" t="s">
        <v>24</v>
      </c>
      <c r="C2" s="8" t="s">
        <v>11</v>
      </c>
      <c r="D2" s="8" t="s">
        <v>13</v>
      </c>
      <c r="E2" s="8">
        <v>88</v>
      </c>
      <c r="F2" s="8" t="s">
        <v>16</v>
      </c>
    </row>
    <row r="3" spans="1:9" x14ac:dyDescent="0.25">
      <c r="A3" s="8">
        <v>101</v>
      </c>
      <c r="B3" s="9" t="s">
        <v>24</v>
      </c>
      <c r="C3" s="8" t="s">
        <v>11</v>
      </c>
      <c r="D3" s="8" t="s">
        <v>14</v>
      </c>
      <c r="E3" s="8">
        <v>92</v>
      </c>
      <c r="F3" s="8" t="s">
        <v>16</v>
      </c>
    </row>
    <row r="4" spans="1:9" ht="23.25" x14ac:dyDescent="0.35">
      <c r="A4" s="8">
        <v>101</v>
      </c>
      <c r="B4" s="9" t="s">
        <v>24</v>
      </c>
      <c r="C4" s="8" t="s">
        <v>11</v>
      </c>
      <c r="D4" s="8" t="s">
        <v>15</v>
      </c>
      <c r="E4" s="8">
        <v>85</v>
      </c>
      <c r="F4" s="8" t="s">
        <v>16</v>
      </c>
      <c r="I4" s="10" t="s">
        <v>22</v>
      </c>
    </row>
    <row r="5" spans="1:9" x14ac:dyDescent="0.25">
      <c r="A5" s="8">
        <v>102</v>
      </c>
      <c r="B5" s="9" t="s">
        <v>25</v>
      </c>
      <c r="C5" s="8" t="s">
        <v>11</v>
      </c>
      <c r="D5" s="8" t="s">
        <v>13</v>
      </c>
      <c r="E5" s="8">
        <v>76</v>
      </c>
      <c r="F5" s="8" t="s">
        <v>17</v>
      </c>
      <c r="H5" s="3" t="s">
        <v>8</v>
      </c>
      <c r="I5" s="3">
        <f>VLOOKUP(H5,B2:F16,4,FALSE)</f>
        <v>54</v>
      </c>
    </row>
    <row r="6" spans="1:9" x14ac:dyDescent="0.25">
      <c r="A6" s="8">
        <v>102</v>
      </c>
      <c r="B6" s="9" t="s">
        <v>25</v>
      </c>
      <c r="C6" s="8" t="s">
        <v>11</v>
      </c>
      <c r="D6" s="8" t="s">
        <v>14</v>
      </c>
      <c r="E6" s="8">
        <v>81</v>
      </c>
      <c r="F6" s="8" t="s">
        <v>17</v>
      </c>
      <c r="H6" s="3" t="s">
        <v>6</v>
      </c>
      <c r="I6" s="3">
        <f>VLOOKUP(H6,B3:F17,4,FALSE)</f>
        <v>92</v>
      </c>
    </row>
    <row r="7" spans="1:9" x14ac:dyDescent="0.25">
      <c r="A7" s="8">
        <v>102</v>
      </c>
      <c r="B7" s="9" t="s">
        <v>25</v>
      </c>
      <c r="C7" s="8" t="s">
        <v>11</v>
      </c>
      <c r="D7" s="8" t="s">
        <v>15</v>
      </c>
      <c r="E7" s="8">
        <v>70</v>
      </c>
      <c r="F7" s="8" t="s">
        <v>17</v>
      </c>
      <c r="H7" s="3"/>
      <c r="I7" s="3"/>
    </row>
    <row r="8" spans="1:9" x14ac:dyDescent="0.25">
      <c r="A8" s="8">
        <v>103</v>
      </c>
      <c r="B8" s="9" t="s">
        <v>23</v>
      </c>
      <c r="C8" s="8" t="s">
        <v>11</v>
      </c>
      <c r="D8" s="8" t="s">
        <v>13</v>
      </c>
      <c r="E8" s="8">
        <v>54</v>
      </c>
      <c r="F8" s="8" t="s">
        <v>18</v>
      </c>
      <c r="H8" s="3"/>
      <c r="I8" s="3"/>
    </row>
    <row r="9" spans="1:9" x14ac:dyDescent="0.25">
      <c r="A9" s="8">
        <v>103</v>
      </c>
      <c r="B9" s="9" t="s">
        <v>23</v>
      </c>
      <c r="C9" s="8" t="s">
        <v>11</v>
      </c>
      <c r="D9" s="8" t="s">
        <v>14</v>
      </c>
      <c r="E9" s="8">
        <v>60</v>
      </c>
      <c r="F9" s="8" t="s">
        <v>18</v>
      </c>
    </row>
    <row r="10" spans="1:9" x14ac:dyDescent="0.25">
      <c r="A10" s="8">
        <v>103</v>
      </c>
      <c r="B10" s="9" t="s">
        <v>23</v>
      </c>
      <c r="C10" s="8" t="s">
        <v>11</v>
      </c>
      <c r="D10" s="8" t="s">
        <v>15</v>
      </c>
      <c r="E10" s="8">
        <v>55</v>
      </c>
      <c r="F10" s="8" t="s">
        <v>18</v>
      </c>
    </row>
    <row r="11" spans="1:9" x14ac:dyDescent="0.25">
      <c r="A11" s="8">
        <v>104</v>
      </c>
      <c r="B11" s="9" t="s">
        <v>26</v>
      </c>
      <c r="C11" s="8" t="s">
        <v>12</v>
      </c>
      <c r="D11" s="8" t="s">
        <v>13</v>
      </c>
      <c r="E11" s="8">
        <v>90</v>
      </c>
      <c r="F11" s="8" t="s">
        <v>16</v>
      </c>
    </row>
    <row r="12" spans="1:9" x14ac:dyDescent="0.25">
      <c r="A12" s="8">
        <v>104</v>
      </c>
      <c r="B12" s="9" t="s">
        <v>26</v>
      </c>
      <c r="C12" s="8" t="s">
        <v>12</v>
      </c>
      <c r="D12" s="8" t="s">
        <v>14</v>
      </c>
      <c r="E12" s="8">
        <v>88</v>
      </c>
      <c r="F12" s="8" t="s">
        <v>16</v>
      </c>
    </row>
    <row r="13" spans="1:9" x14ac:dyDescent="0.25">
      <c r="A13" s="8">
        <v>104</v>
      </c>
      <c r="B13" s="9" t="s">
        <v>26</v>
      </c>
      <c r="C13" s="8" t="s">
        <v>12</v>
      </c>
      <c r="D13" s="8" t="s">
        <v>15</v>
      </c>
      <c r="E13" s="8">
        <v>95</v>
      </c>
      <c r="F13" s="8" t="s">
        <v>16</v>
      </c>
    </row>
    <row r="14" spans="1:9" x14ac:dyDescent="0.25">
      <c r="A14" s="8">
        <v>105</v>
      </c>
      <c r="B14" s="9" t="s">
        <v>27</v>
      </c>
      <c r="C14" s="8" t="s">
        <v>12</v>
      </c>
      <c r="D14" s="8" t="s">
        <v>13</v>
      </c>
      <c r="E14" s="8">
        <v>65</v>
      </c>
      <c r="F14" s="8" t="s">
        <v>18</v>
      </c>
    </row>
    <row r="15" spans="1:9" x14ac:dyDescent="0.25">
      <c r="A15" s="8">
        <v>105</v>
      </c>
      <c r="B15" s="9" t="s">
        <v>27</v>
      </c>
      <c r="C15" s="8" t="s">
        <v>12</v>
      </c>
      <c r="D15" s="8" t="s">
        <v>14</v>
      </c>
      <c r="E15" s="8">
        <v>72</v>
      </c>
      <c r="F15" s="8" t="s">
        <v>17</v>
      </c>
    </row>
    <row r="16" spans="1:9" x14ac:dyDescent="0.25">
      <c r="A16" s="8">
        <v>105</v>
      </c>
      <c r="B16" s="9" t="s">
        <v>27</v>
      </c>
      <c r="C16" s="8" t="s">
        <v>12</v>
      </c>
      <c r="D16" s="8" t="s">
        <v>15</v>
      </c>
      <c r="E16" s="8">
        <v>68</v>
      </c>
      <c r="F16" s="8" t="s">
        <v>18</v>
      </c>
    </row>
    <row r="19" spans="1:16" x14ac:dyDescent="0.25">
      <c r="A19" s="9" t="str">
        <f t="array" ref="A19:P23">TRANSPOSE(B1:F16)</f>
        <v>Name</v>
      </c>
      <c r="B19" s="9" t="str">
        <v>alice</v>
      </c>
      <c r="C19" s="9" t="str">
        <v>alice</v>
      </c>
      <c r="D19" s="9" t="str">
        <v>alice</v>
      </c>
      <c r="E19" s="9" t="str">
        <v>bob</v>
      </c>
      <c r="F19" s="9" t="str">
        <v>bob</v>
      </c>
      <c r="G19" s="9" t="str">
        <v>bob</v>
      </c>
      <c r="H19" s="9" t="str">
        <v>charlie</v>
      </c>
      <c r="I19" s="9" t="str">
        <v>charlie</v>
      </c>
      <c r="J19" s="9" t="str">
        <v>charlie</v>
      </c>
      <c r="K19" s="9" t="str">
        <v>david</v>
      </c>
      <c r="L19" s="9" t="str">
        <v>david</v>
      </c>
      <c r="M19" s="9" t="str">
        <v>david</v>
      </c>
      <c r="N19" s="9" t="str">
        <v>eva</v>
      </c>
      <c r="O19" s="9" t="str">
        <v>eva</v>
      </c>
      <c r="P19" s="9" t="str">
        <v>eva</v>
      </c>
    </row>
    <row r="20" spans="1:16" x14ac:dyDescent="0.25">
      <c r="A20" s="9" t="str">
        <v>Class</v>
      </c>
      <c r="B20" s="9" t="str">
        <v>10A</v>
      </c>
      <c r="C20" s="9" t="str">
        <v>10A</v>
      </c>
      <c r="D20" s="9" t="str">
        <v>10A</v>
      </c>
      <c r="E20" s="9" t="str">
        <v>10A</v>
      </c>
      <c r="F20" s="9" t="str">
        <v>10A</v>
      </c>
      <c r="G20" s="9" t="str">
        <v>10A</v>
      </c>
      <c r="H20" s="9" t="str">
        <v>10A</v>
      </c>
      <c r="I20" s="9" t="str">
        <v>10A</v>
      </c>
      <c r="J20" s="9" t="str">
        <v>10A</v>
      </c>
      <c r="K20" s="9" t="str">
        <v>10B</v>
      </c>
      <c r="L20" s="9" t="str">
        <v>10B</v>
      </c>
      <c r="M20" s="9" t="str">
        <v>10B</v>
      </c>
      <c r="N20" s="9" t="str">
        <v>10B</v>
      </c>
      <c r="O20" s="9" t="str">
        <v>10B</v>
      </c>
      <c r="P20" s="9" t="str">
        <v>10B</v>
      </c>
    </row>
    <row r="21" spans="1:16" x14ac:dyDescent="0.25">
      <c r="A21" s="9" t="str">
        <v>Subject</v>
      </c>
      <c r="B21" s="9" t="str">
        <v>Math</v>
      </c>
      <c r="C21" s="9" t="str">
        <v>English</v>
      </c>
      <c r="D21" s="9" t="str">
        <v>Science</v>
      </c>
      <c r="E21" s="9" t="str">
        <v>Math</v>
      </c>
      <c r="F21" s="9" t="str">
        <v>English</v>
      </c>
      <c r="G21" s="9" t="str">
        <v>Science</v>
      </c>
      <c r="H21" s="9" t="str">
        <v>Math</v>
      </c>
      <c r="I21" s="9" t="str">
        <v>English</v>
      </c>
      <c r="J21" s="9" t="str">
        <v>Science</v>
      </c>
      <c r="K21" s="9" t="str">
        <v>Math</v>
      </c>
      <c r="L21" s="9" t="str">
        <v>English</v>
      </c>
      <c r="M21" s="9" t="str">
        <v>Science</v>
      </c>
      <c r="N21" s="9" t="str">
        <v>Math</v>
      </c>
      <c r="O21" s="9" t="str">
        <v>English</v>
      </c>
      <c r="P21" s="9" t="str">
        <v>Science</v>
      </c>
    </row>
    <row r="22" spans="1:16" x14ac:dyDescent="0.25">
      <c r="A22" s="9" t="str">
        <v>Marks</v>
      </c>
      <c r="B22" s="9">
        <v>88</v>
      </c>
      <c r="C22" s="9">
        <v>92</v>
      </c>
      <c r="D22" s="9">
        <v>85</v>
      </c>
      <c r="E22" s="9">
        <v>76</v>
      </c>
      <c r="F22" s="9">
        <v>81</v>
      </c>
      <c r="G22" s="9">
        <v>70</v>
      </c>
      <c r="H22" s="9">
        <v>54</v>
      </c>
      <c r="I22" s="9">
        <v>60</v>
      </c>
      <c r="J22" s="9">
        <v>55</v>
      </c>
      <c r="K22" s="9">
        <v>90</v>
      </c>
      <c r="L22" s="9">
        <v>88</v>
      </c>
      <c r="M22" s="9">
        <v>95</v>
      </c>
      <c r="N22" s="9">
        <v>65</v>
      </c>
      <c r="O22" s="9">
        <v>72</v>
      </c>
      <c r="P22" s="9">
        <v>68</v>
      </c>
    </row>
    <row r="23" spans="1:16" x14ac:dyDescent="0.25">
      <c r="A23" s="9" t="str">
        <v>Grade</v>
      </c>
      <c r="B23" s="9" t="str">
        <v>A</v>
      </c>
      <c r="C23" s="9" t="str">
        <v>A</v>
      </c>
      <c r="D23" s="9" t="str">
        <v>A</v>
      </c>
      <c r="E23" s="9" t="str">
        <v>B</v>
      </c>
      <c r="F23" s="9" t="str">
        <v>B</v>
      </c>
      <c r="G23" s="9" t="str">
        <v>B</v>
      </c>
      <c r="H23" s="9" t="str">
        <v>C</v>
      </c>
      <c r="I23" s="9" t="str">
        <v>C</v>
      </c>
      <c r="J23" s="9" t="str">
        <v>C</v>
      </c>
      <c r="K23" s="9" t="str">
        <v>A</v>
      </c>
      <c r="L23" s="9" t="str">
        <v>A</v>
      </c>
      <c r="M23" s="9" t="str">
        <v>A</v>
      </c>
      <c r="N23" s="9" t="str">
        <v>C</v>
      </c>
      <c r="O23" s="9" t="str">
        <v>B</v>
      </c>
      <c r="P23" s="9" t="str">
        <v>C</v>
      </c>
    </row>
  </sheetData>
  <sortState ref="A2:F16">
    <sortCondition ref="A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Sheet4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Jishnu K</cp:lastModifiedBy>
  <dcterms:created xsi:type="dcterms:W3CDTF">2026-01-26T16:27:08Z</dcterms:created>
  <dcterms:modified xsi:type="dcterms:W3CDTF">2026-01-26T19:58:21Z</dcterms:modified>
</cp:coreProperties>
</file>