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k977\OneDrive\Desktop\Excel Study\"/>
    </mc:Choice>
  </mc:AlternateContent>
  <xr:revisionPtr revIDLastSave="0" documentId="13_ncr:1_{1C399C00-8F08-4BE0-8423-47A23C6B7734}" xr6:coauthVersionLast="36" xr6:coauthVersionMax="36" xr10:uidLastSave="{00000000-0000-0000-0000-000000000000}"/>
  <bookViews>
    <workbookView xWindow="0" yWindow="0" windowWidth="24000" windowHeight="9525" activeTab="2" xr2:uid="{EA113A04-A10A-40AA-8B08-92A35D53F25E}"/>
  </bookViews>
  <sheets>
    <sheet name="Student" sheetId="3" r:id="rId1"/>
    <sheet name="Student1" sheetId="2" r:id="rId2"/>
    <sheet name="pivot table" sheetId="7" r:id="rId3"/>
    <sheet name="Student2" sheetId="1" r:id="rId4"/>
  </sheets>
  <calcPr calcId="191029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2" i="1"/>
  <c r="F19" i="2"/>
  <c r="B17" i="2" l="1"/>
  <c r="B16" i="2"/>
  <c r="B15" i="2"/>
  <c r="B14" i="2"/>
  <c r="B13" i="2"/>
  <c r="B12" i="2"/>
  <c r="G3" i="2"/>
  <c r="G4" i="2"/>
  <c r="G5" i="2"/>
  <c r="G6" i="2"/>
  <c r="G7" i="2"/>
  <c r="G8" i="2"/>
  <c r="G9" i="2"/>
  <c r="G10" i="2"/>
  <c r="G2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B18" i="2" s="1"/>
  <c r="D3" i="2"/>
  <c r="D4" i="2"/>
  <c r="D5" i="2"/>
  <c r="D6" i="2"/>
  <c r="D7" i="2"/>
  <c r="D8" i="2"/>
  <c r="D9" i="2"/>
  <c r="D10" i="2"/>
  <c r="F16" i="2" s="1"/>
  <c r="D2" i="2"/>
  <c r="B8" i="3"/>
  <c r="B9" i="3"/>
  <c r="E11" i="3" a="1"/>
  <c r="E11" i="3" s="1"/>
  <c r="F9" i="3"/>
  <c r="D14" i="3"/>
  <c r="D15" i="3"/>
  <c r="D16" i="3"/>
  <c r="D17" i="3"/>
  <c r="D13" i="3"/>
  <c r="C14" i="3"/>
  <c r="C15" i="3"/>
  <c r="C16" i="3"/>
  <c r="C17" i="3"/>
  <c r="C13" i="3"/>
  <c r="B14" i="3"/>
  <c r="B15" i="3"/>
  <c r="B16" i="3"/>
  <c r="B17" i="3"/>
  <c r="B13" i="3"/>
  <c r="A14" i="3"/>
  <c r="A15" i="3"/>
  <c r="A16" i="3"/>
  <c r="A17" i="3"/>
  <c r="A13" i="3"/>
  <c r="H3" i="3"/>
  <c r="H4" i="3"/>
  <c r="H5" i="3"/>
  <c r="H6" i="3"/>
  <c r="H2" i="3"/>
  <c r="G3" i="3"/>
  <c r="G4" i="3"/>
  <c r="G5" i="3"/>
  <c r="G6" i="3"/>
  <c r="G2" i="3"/>
  <c r="F3" i="3"/>
  <c r="F4" i="3"/>
  <c r="F5" i="3"/>
  <c r="F6" i="3"/>
  <c r="F2" i="3"/>
  <c r="E3" i="3"/>
  <c r="E4" i="3"/>
  <c r="E5" i="3"/>
  <c r="E6" i="3"/>
  <c r="E2" i="3"/>
  <c r="A22" i="2" l="1" a="1"/>
  <c r="F15" i="2"/>
  <c r="F12" i="3"/>
  <c r="F11" i="3"/>
  <c r="E12" i="3"/>
  <c r="A22" i="2" l="1"/>
  <c r="H28" i="2"/>
  <c r="H24" i="2"/>
  <c r="C28" i="2"/>
  <c r="A25" i="2"/>
  <c r="F28" i="2"/>
  <c r="H25" i="2"/>
  <c r="H23" i="2"/>
  <c r="B22" i="2"/>
  <c r="H26" i="2"/>
  <c r="F23" i="2"/>
  <c r="A27" i="2"/>
  <c r="I23" i="2"/>
  <c r="B28" i="2"/>
  <c r="I28" i="2"/>
  <c r="C27" i="2"/>
  <c r="G25" i="2"/>
  <c r="A24" i="2"/>
  <c r="E22" i="2"/>
  <c r="D26" i="2"/>
  <c r="E23" i="2"/>
  <c r="F24" i="2"/>
  <c r="F27" i="2"/>
  <c r="G28" i="2"/>
  <c r="C22" i="2"/>
  <c r="A28" i="2"/>
  <c r="I24" i="2"/>
  <c r="F25" i="2"/>
  <c r="D22" i="2"/>
  <c r="I25" i="2"/>
  <c r="G22" i="2"/>
  <c r="B26" i="2"/>
  <c r="B24" i="2"/>
  <c r="F22" i="2"/>
  <c r="B27" i="2"/>
  <c r="D24" i="2"/>
  <c r="I27" i="2"/>
  <c r="G24" i="2"/>
  <c r="J28" i="2"/>
  <c r="D25" i="2"/>
  <c r="G27" i="2"/>
  <c r="A26" i="2"/>
  <c r="E24" i="2"/>
  <c r="I22" i="2"/>
  <c r="J27" i="2"/>
  <c r="J23" i="2"/>
  <c r="E27" i="2"/>
  <c r="C24" i="2"/>
  <c r="H27" i="2"/>
  <c r="J24" i="2"/>
  <c r="D23" i="2"/>
  <c r="D28" i="2"/>
  <c r="J25" i="2"/>
  <c r="H22" i="2"/>
  <c r="C26" i="2"/>
  <c r="A23" i="2"/>
  <c r="D27" i="2"/>
  <c r="E28" i="2"/>
  <c r="I26" i="2"/>
  <c r="C25" i="2"/>
  <c r="G23" i="2"/>
  <c r="B23" i="2"/>
  <c r="G26" i="2"/>
  <c r="J26" i="2"/>
  <c r="J22" i="2"/>
  <c r="B25" i="2"/>
  <c r="E25" i="2"/>
  <c r="F26" i="2"/>
  <c r="E26" i="2"/>
  <c r="C23" i="2"/>
  <c r="H16" i="2" l="1"/>
  <c r="H15" i="2"/>
</calcChain>
</file>

<file path=xl/sharedStrings.xml><?xml version="1.0" encoding="utf-8"?>
<sst xmlns="http://schemas.openxmlformats.org/spreadsheetml/2006/main" count="108" uniqueCount="78">
  <si>
    <t>Name</t>
  </si>
  <si>
    <t>Subject</t>
  </si>
  <si>
    <t>Marks</t>
  </si>
  <si>
    <t>A</t>
  </si>
  <si>
    <t>B</t>
  </si>
  <si>
    <t>C</t>
  </si>
  <si>
    <t>D</t>
  </si>
  <si>
    <t>E</t>
  </si>
  <si>
    <t>Maths</t>
  </si>
  <si>
    <t>Attendence</t>
  </si>
  <si>
    <t>Pass/Fail</t>
  </si>
  <si>
    <t>Status using AND</t>
  </si>
  <si>
    <t>Status Using OR</t>
  </si>
  <si>
    <t>Grade Using Nested IF</t>
  </si>
  <si>
    <t>Using Len Function To Find Out Text Length of Text cells</t>
  </si>
  <si>
    <t>subject column</t>
  </si>
  <si>
    <t>pass or fail column</t>
  </si>
  <si>
    <t>Status AND</t>
  </si>
  <si>
    <t>Status OR</t>
  </si>
  <si>
    <t>Total Marks</t>
  </si>
  <si>
    <t>Total Attendence</t>
  </si>
  <si>
    <t>Avarage Marks</t>
  </si>
  <si>
    <t>Average Attendence</t>
  </si>
  <si>
    <t>56</t>
  </si>
  <si>
    <t>transposed column</t>
  </si>
  <si>
    <t>F</t>
  </si>
  <si>
    <t>G</t>
  </si>
  <si>
    <t>H</t>
  </si>
  <si>
    <t>I</t>
  </si>
  <si>
    <t>Pass or Fail using IF</t>
  </si>
  <si>
    <t>Score Rating using AND</t>
  </si>
  <si>
    <t>Score rating using OR</t>
  </si>
  <si>
    <t>Grade using Nested IF</t>
  </si>
  <si>
    <t>Average marks</t>
  </si>
  <si>
    <t>Average Round</t>
  </si>
  <si>
    <t>Student count</t>
  </si>
  <si>
    <t>Max mark</t>
  </si>
  <si>
    <t>Min Mark</t>
  </si>
  <si>
    <t xml:space="preserve">len of score rating </t>
  </si>
  <si>
    <t>Vlookup</t>
  </si>
  <si>
    <t>Hlookup</t>
  </si>
  <si>
    <t>jishnu</t>
  </si>
  <si>
    <t>hai,bye,hello</t>
  </si>
  <si>
    <t>hai</t>
  </si>
  <si>
    <t>bye</t>
  </si>
  <si>
    <t>hello</t>
  </si>
  <si>
    <t>kerala,kannur,india</t>
  </si>
  <si>
    <t>kerala</t>
  </si>
  <si>
    <t>kannur</t>
  </si>
  <si>
    <t>india</t>
  </si>
  <si>
    <t>jishnu kannur kuttiattoor</t>
  </si>
  <si>
    <t>kuttiattoor</t>
  </si>
  <si>
    <t>{ text splitting}</t>
  </si>
  <si>
    <t>a</t>
  </si>
  <si>
    <t>b</t>
  </si>
  <si>
    <t>c</t>
  </si>
  <si>
    <t>d</t>
  </si>
  <si>
    <t>name</t>
  </si>
  <si>
    <t>mark</t>
  </si>
  <si>
    <t>mark2</t>
  </si>
  <si>
    <t>mark3</t>
  </si>
  <si>
    <t>mark4</t>
  </si>
  <si>
    <t>student</t>
  </si>
  <si>
    <t>subject</t>
  </si>
  <si>
    <t>marks</t>
  </si>
  <si>
    <t>Arun</t>
  </si>
  <si>
    <t>Binu</t>
  </si>
  <si>
    <t>Charan</t>
  </si>
  <si>
    <t>maths</t>
  </si>
  <si>
    <t>science</t>
  </si>
  <si>
    <t>Row Labels</t>
  </si>
  <si>
    <t>Grand Total</t>
  </si>
  <si>
    <t>Sum of marks</t>
  </si>
  <si>
    <t>grade</t>
  </si>
  <si>
    <t>Anu</t>
  </si>
  <si>
    <t>manu</t>
  </si>
  <si>
    <t>janu</t>
  </si>
  <si>
    <t>Pass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</si>
</sst>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 wrapText="1"/>
    </xf>
    <xf numFmtId="0" fontId="1" fillId="3" borderId="1" xfId="2" applyBorder="1" applyAlignment="1">
      <alignment horizontal="center"/>
    </xf>
    <xf numFmtId="0" fontId="4" fillId="2" borderId="0" xfId="1" applyFont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7" fillId="0" borderId="0" xfId="3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4">
    <cellStyle name="60% - Accent4" xfId="2" builtinId="44"/>
    <cellStyle name="Good" xfId="1" builtinId="26"/>
    <cellStyle name="Hyperlink" xfId="3" builtinId="8"/>
    <cellStyle name="Normal" xfId="0" builtinId="0"/>
  </cellStyles>
  <dxfs count="10">
    <dxf>
      <font>
        <color theme="1"/>
      </font>
      <fill>
        <patternFill>
          <bgColor theme="9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 tint="-0.2499465926084170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theme="5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shnu K" refreshedDate="46048.924378587966" createdVersion="6" refreshedVersion="6" minRefreshableVersion="3" recordCount="6" xr:uid="{F729E3DC-9ECF-4A5E-8DA1-BE745CCE4503}">
  <cacheSource type="worksheet">
    <worksheetSource ref="A1:D7" sheet="Student2"/>
  </cacheSource>
  <cacheFields count="5">
    <cacheField name="student" numFmtId="0">
      <sharedItems count="6">
        <s v="Arun"/>
        <s v="Anu"/>
        <s v="Binu"/>
        <s v="manu"/>
        <s v="Charan"/>
        <s v="janu"/>
      </sharedItems>
    </cacheField>
    <cacheField name="subject" numFmtId="0">
      <sharedItems/>
    </cacheField>
    <cacheField name="marks" numFmtId="0">
      <sharedItems containsSemiMixedTypes="0" containsString="0" containsNumber="1" containsInteger="1" minValue="40" maxValue="80"/>
    </cacheField>
    <cacheField name="grade" numFmtId="0">
      <sharedItems count="4">
        <s v="B"/>
        <s v="C"/>
        <s v="F"/>
        <s v="A"/>
      </sharedItems>
      <fieldGroup par="4"/>
    </cacheField>
    <cacheField name="grade2" numFmtId="0" databaseField="0">
      <fieldGroup base="3">
        <discretePr count="4">
          <x v="1"/>
          <x v="1"/>
          <x v="0"/>
          <x v="1"/>
        </discretePr>
        <groupItems count="2">
          <s v="F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s v="maths"/>
    <n v="65"/>
    <x v="0"/>
  </r>
  <r>
    <x v="1"/>
    <s v="science"/>
    <n v="55"/>
    <x v="1"/>
  </r>
  <r>
    <x v="2"/>
    <s v="maths"/>
    <n v="45"/>
    <x v="2"/>
  </r>
  <r>
    <x v="3"/>
    <s v="science"/>
    <n v="70"/>
    <x v="0"/>
  </r>
  <r>
    <x v="4"/>
    <s v="maths"/>
    <n v="80"/>
    <x v="3"/>
  </r>
  <r>
    <x v="5"/>
    <s v="science"/>
    <n v="4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DC1D0-774C-4314-A876-91F5463D64AD}" name="PivotTable4" cacheId="10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5">
    <pivotField axis="axisRow" showAll="0" measureFilter="1">
      <items count="7">
        <item x="1"/>
        <item x="0"/>
        <item x="2"/>
        <item x="4"/>
        <item x="5"/>
        <item x="3"/>
        <item t="default"/>
      </items>
    </pivotField>
    <pivotField showAll="0"/>
    <pivotField dataField="1" showAll="0"/>
    <pivotField axis="axisRow" showAll="0">
      <items count="5">
        <item x="3"/>
        <item x="0"/>
        <item x="1"/>
        <item x="2"/>
        <item t="default"/>
      </items>
    </pivotField>
    <pivotField axis="axisRow" showAll="0">
      <items count="3">
        <item n="Pass student" x="1"/>
        <item n="fail" x="0"/>
        <item t="default"/>
      </items>
    </pivotField>
  </pivotFields>
  <rowFields count="3">
    <field x="4"/>
    <field x="3"/>
    <field x="0"/>
  </rowFields>
  <rowItems count="9">
    <i>
      <x/>
    </i>
    <i r="1">
      <x/>
    </i>
    <i r="2">
      <x v="3"/>
    </i>
    <i r="1">
      <x v="1"/>
    </i>
    <i r="2">
      <x v="1"/>
    </i>
    <i r="2">
      <x v="5"/>
    </i>
    <i r="1">
      <x v="2"/>
    </i>
    <i r="2">
      <x/>
    </i>
    <i t="grand">
      <x/>
    </i>
  </rowItems>
  <colItems count="1">
    <i/>
  </colItems>
  <dataFields count="1">
    <dataField name="Sum of marks" fld="2" baseField="0" baseItem="0"/>
  </dataFields>
  <pivotTableStyleInfo name="PivotStyleLight16" showRowHeaders="1" showColHeaders="1" showRowStripes="0" showColStripes="0" showLastColumn="1"/>
  <filters count="1">
    <filter fld="0" type="valueGreaterThanOrEqual" evalOrder="-1" id="3" iMeasureFld="0">
      <autoFilter ref="A1">
        <filterColumn colId="0">
          <customFilters>
            <customFilter operator="greaterThanOrEqual" val="5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C4418B-9530-4002-9B8B-E1DD47D9E09C}" name="Table1" displayName="Table1" ref="E8:F9" totalsRowShown="0">
  <autoFilter ref="E8:F9" xr:uid="{6553AAC4-4037-41C3-A335-8555F38FFA95}"/>
  <tableColumns count="2">
    <tableColumn id="1" xr3:uid="{223CA23C-E9EC-4E30-BC54-AE1EFE576BBA}" name="Avarage Marks" dataDxfId="9"/>
    <tableColumn id="2" xr3:uid="{6F290A96-0F67-4656-BA7A-D609AD054E01}" name="56" dataDxfId="8">
      <calculatedColumnFormula>AVERAGE(D2:D6)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B93F-A698-4EE9-8F7D-7340BE907852}">
  <sheetPr codeName="Sheet1"/>
  <dimension ref="A1:H17"/>
  <sheetViews>
    <sheetView workbookViewId="0">
      <selection activeCell="E18" sqref="E18"/>
    </sheetView>
  </sheetViews>
  <sheetFormatPr defaultRowHeight="15" x14ac:dyDescent="0.25"/>
  <cols>
    <col min="1" max="1" width="17.140625" customWidth="1"/>
    <col min="2" max="2" width="18.28515625" customWidth="1"/>
    <col min="3" max="3" width="14.42578125" customWidth="1"/>
    <col min="4" max="4" width="16.85546875" customWidth="1"/>
    <col min="5" max="5" width="26.140625" customWidth="1"/>
    <col min="6" max="6" width="22" customWidth="1"/>
    <col min="7" max="7" width="29" customWidth="1"/>
    <col min="8" max="8" width="22.8554687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</row>
    <row r="2" spans="1:8" x14ac:dyDescent="0.25">
      <c r="A2" s="1" t="s">
        <v>3</v>
      </c>
      <c r="B2" s="1" t="s">
        <v>8</v>
      </c>
      <c r="C2" s="1">
        <v>65</v>
      </c>
      <c r="D2" s="1">
        <v>75</v>
      </c>
      <c r="E2" s="1" t="str">
        <f>IF(C2&gt;=50,"Pass","Fail")</f>
        <v>Pass</v>
      </c>
      <c r="F2" s="1" t="str">
        <f>IF(AND(C2&gt;=50,D2&gt;=75),"Good","Needs Improvement")</f>
        <v>Good</v>
      </c>
      <c r="G2" s="1" t="str">
        <f>IF(OR(C2&gt;=50,D2&gt;=75),"Good Marks or Attendence","Needs Improvement")</f>
        <v>Good Marks or Attendence</v>
      </c>
      <c r="H2" s="1" t="str">
        <f>IF(C2&gt;=70,"A",IF(C2&gt;=60,"B","C"))</f>
        <v>B</v>
      </c>
    </row>
    <row r="3" spans="1:8" x14ac:dyDescent="0.25">
      <c r="A3" s="1" t="s">
        <v>4</v>
      </c>
      <c r="B3" s="1" t="s">
        <v>8</v>
      </c>
      <c r="C3" s="1">
        <v>45</v>
      </c>
      <c r="D3" s="1">
        <v>66</v>
      </c>
      <c r="E3" s="1" t="str">
        <f t="shared" ref="E3:E6" si="0">IF(C3&gt;=50,"Pass","Fail")</f>
        <v>Fail</v>
      </c>
      <c r="F3" s="1" t="str">
        <f t="shared" ref="F3:F6" si="1">IF(AND(C3&gt;=50,D3&gt;=75),"Good","Needs Improvement")</f>
        <v>Needs Improvement</v>
      </c>
      <c r="G3" s="1" t="str">
        <f t="shared" ref="G3:G6" si="2">IF(OR(C3&gt;=50,D3&gt;=75),"Good Marks or Attendence","Needs Improvement")</f>
        <v>Needs Improvement</v>
      </c>
      <c r="H3" s="1" t="str">
        <f t="shared" ref="H3:H6" si="3">IF(C3&gt;=70,"A",IF(C3&gt;=60,"B","C"))</f>
        <v>C</v>
      </c>
    </row>
    <row r="4" spans="1:8" x14ac:dyDescent="0.25">
      <c r="A4" s="1" t="s">
        <v>5</v>
      </c>
      <c r="B4" s="1" t="s">
        <v>8</v>
      </c>
      <c r="C4" s="1">
        <v>80</v>
      </c>
      <c r="D4" s="1">
        <v>80</v>
      </c>
      <c r="E4" s="1" t="str">
        <f t="shared" si="0"/>
        <v>Pass</v>
      </c>
      <c r="F4" s="1" t="str">
        <f t="shared" si="1"/>
        <v>Good</v>
      </c>
      <c r="G4" s="1" t="str">
        <f t="shared" si="2"/>
        <v>Good Marks or Attendence</v>
      </c>
      <c r="H4" s="1" t="str">
        <f t="shared" si="3"/>
        <v>A</v>
      </c>
    </row>
    <row r="5" spans="1:8" x14ac:dyDescent="0.25">
      <c r="A5" s="1" t="s">
        <v>6</v>
      </c>
      <c r="B5" s="1" t="s">
        <v>8</v>
      </c>
      <c r="C5" s="1">
        <v>55</v>
      </c>
      <c r="D5" s="1">
        <v>65</v>
      </c>
      <c r="E5" s="1" t="str">
        <f t="shared" si="0"/>
        <v>Pass</v>
      </c>
      <c r="F5" s="1" t="str">
        <f t="shared" si="1"/>
        <v>Needs Improvement</v>
      </c>
      <c r="G5" s="1" t="str">
        <f t="shared" si="2"/>
        <v>Good Marks or Attendence</v>
      </c>
      <c r="H5" s="1" t="str">
        <f t="shared" si="3"/>
        <v>C</v>
      </c>
    </row>
    <row r="6" spans="1:8" x14ac:dyDescent="0.25">
      <c r="A6" s="1" t="s">
        <v>7</v>
      </c>
      <c r="B6" s="1" t="s">
        <v>8</v>
      </c>
      <c r="C6" s="1">
        <v>35</v>
      </c>
      <c r="D6" s="1">
        <v>75</v>
      </c>
      <c r="E6" s="1" t="str">
        <f t="shared" si="0"/>
        <v>Fail</v>
      </c>
      <c r="F6" s="1" t="str">
        <f t="shared" si="1"/>
        <v>Needs Improvement</v>
      </c>
      <c r="G6" s="1" t="str">
        <f t="shared" si="2"/>
        <v>Good Marks or Attendence</v>
      </c>
      <c r="H6" s="1" t="str">
        <f t="shared" si="3"/>
        <v>C</v>
      </c>
    </row>
    <row r="8" spans="1:8" x14ac:dyDescent="0.25">
      <c r="A8" s="2" t="s">
        <v>19</v>
      </c>
      <c r="B8">
        <f>SUM(C2:C6)</f>
        <v>280</v>
      </c>
      <c r="E8" s="2" t="s">
        <v>21</v>
      </c>
      <c r="F8" s="1" t="s">
        <v>23</v>
      </c>
      <c r="G8" s="1"/>
    </row>
    <row r="9" spans="1:8" x14ac:dyDescent="0.25">
      <c r="A9" s="2" t="s">
        <v>20</v>
      </c>
      <c r="B9">
        <f>SUM(D2:D6)</f>
        <v>361</v>
      </c>
      <c r="E9" s="2" t="s">
        <v>22</v>
      </c>
      <c r="F9" s="1">
        <f>AVERAGE(D2:D6)</f>
        <v>72.2</v>
      </c>
      <c r="G9" s="1"/>
    </row>
    <row r="10" spans="1:8" x14ac:dyDescent="0.25">
      <c r="A10" s="3"/>
      <c r="B10" s="3"/>
      <c r="C10" s="3"/>
      <c r="D10" s="3"/>
      <c r="E10" s="3"/>
      <c r="G10" s="1"/>
    </row>
    <row r="11" spans="1:8" x14ac:dyDescent="0.25">
      <c r="A11" s="3" t="s">
        <v>14</v>
      </c>
      <c r="E11" s="5" t="str">
        <f t="array" ref="E11:F12">TRANSPOSE(A8:B9)</f>
        <v>Total Marks</v>
      </c>
      <c r="F11" s="5" t="str">
        <v>Total Attendence</v>
      </c>
      <c r="G11" s="4"/>
    </row>
    <row r="12" spans="1:8" x14ac:dyDescent="0.25">
      <c r="A12" s="3" t="s">
        <v>15</v>
      </c>
      <c r="B12" s="3" t="s">
        <v>16</v>
      </c>
      <c r="C12" s="2" t="s">
        <v>17</v>
      </c>
      <c r="D12" s="2" t="s">
        <v>18</v>
      </c>
      <c r="E12" s="5">
        <v>280</v>
      </c>
      <c r="F12" s="5">
        <v>361</v>
      </c>
      <c r="G12" s="1"/>
    </row>
    <row r="13" spans="1:8" x14ac:dyDescent="0.25">
      <c r="A13" s="1">
        <f>LEN(B2)</f>
        <v>5</v>
      </c>
      <c r="B13" s="1">
        <f>LEN(E2)</f>
        <v>4</v>
      </c>
      <c r="C13" s="1">
        <f>LEN(F2)</f>
        <v>4</v>
      </c>
      <c r="D13" s="1">
        <f>LEN(G2)</f>
        <v>24</v>
      </c>
      <c r="E13" s="6" t="s">
        <v>24</v>
      </c>
      <c r="F13" s="6"/>
    </row>
    <row r="14" spans="1:8" x14ac:dyDescent="0.25">
      <c r="A14" s="1">
        <f t="shared" ref="A14:A17" si="4">LEN(B3)</f>
        <v>5</v>
      </c>
      <c r="B14" s="1">
        <f t="shared" ref="B14:B17" si="5">LEN(E3)</f>
        <v>4</v>
      </c>
      <c r="C14" s="1">
        <f t="shared" ref="C14:C17" si="6">LEN(F3)</f>
        <v>17</v>
      </c>
      <c r="D14" s="1">
        <f t="shared" ref="D14:D17" si="7">LEN(G3)</f>
        <v>17</v>
      </c>
    </row>
    <row r="15" spans="1:8" x14ac:dyDescent="0.25">
      <c r="A15" s="1">
        <f t="shared" si="4"/>
        <v>5</v>
      </c>
      <c r="B15" s="1">
        <f t="shared" si="5"/>
        <v>4</v>
      </c>
      <c r="C15" s="1">
        <f t="shared" si="6"/>
        <v>4</v>
      </c>
      <c r="D15" s="1">
        <f t="shared" si="7"/>
        <v>24</v>
      </c>
    </row>
    <row r="16" spans="1:8" x14ac:dyDescent="0.25">
      <c r="A16" s="1">
        <f t="shared" si="4"/>
        <v>5</v>
      </c>
      <c r="B16" s="1">
        <f t="shared" si="5"/>
        <v>4</v>
      </c>
      <c r="C16" s="1">
        <f t="shared" si="6"/>
        <v>17</v>
      </c>
      <c r="D16" s="1">
        <f t="shared" si="7"/>
        <v>24</v>
      </c>
    </row>
    <row r="17" spans="1:4" x14ac:dyDescent="0.25">
      <c r="A17" s="1">
        <f t="shared" si="4"/>
        <v>5</v>
      </c>
      <c r="B17" s="1">
        <f t="shared" si="5"/>
        <v>4</v>
      </c>
      <c r="C17" s="1">
        <f t="shared" si="6"/>
        <v>17</v>
      </c>
      <c r="D17" s="1">
        <f t="shared" si="7"/>
        <v>24</v>
      </c>
    </row>
  </sheetData>
  <mergeCells count="1">
    <mergeCell ref="E13:F13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C3E85-3016-43A2-BB10-7F824A673E2C}">
  <sheetPr codeName="Sheet2"/>
  <dimension ref="A1:J46"/>
  <sheetViews>
    <sheetView topLeftCell="A28" workbookViewId="0">
      <selection activeCell="B56" sqref="B56"/>
    </sheetView>
  </sheetViews>
  <sheetFormatPr defaultRowHeight="15" x14ac:dyDescent="0.25"/>
  <cols>
    <col min="1" max="1" width="23.42578125" bestFit="1" customWidth="1"/>
    <col min="2" max="4" width="19.5703125" bestFit="1" customWidth="1"/>
    <col min="5" max="5" width="27.140625" bestFit="1" customWidth="1"/>
    <col min="6" max="6" width="19.85546875" bestFit="1" customWidth="1"/>
    <col min="7" max="7" width="20.7109375" bestFit="1" customWidth="1"/>
    <col min="8" max="8" width="19.5703125" bestFit="1" customWidth="1"/>
    <col min="9" max="10" width="6.42578125" bestFit="1" customWidth="1"/>
    <col min="11" max="11" width="3" bestFit="1" customWidth="1"/>
  </cols>
  <sheetData>
    <row r="1" spans="1:9" x14ac:dyDescent="0.25">
      <c r="A1" s="10" t="s">
        <v>0</v>
      </c>
      <c r="B1" s="10" t="s">
        <v>2</v>
      </c>
      <c r="C1" s="10" t="s">
        <v>9</v>
      </c>
      <c r="D1" s="10" t="s">
        <v>29</v>
      </c>
      <c r="E1" s="10" t="s">
        <v>30</v>
      </c>
      <c r="F1" s="10" t="s">
        <v>31</v>
      </c>
      <c r="G1" s="10" t="s">
        <v>32</v>
      </c>
    </row>
    <row r="2" spans="1:9" x14ac:dyDescent="0.25">
      <c r="A2" s="9" t="s">
        <v>3</v>
      </c>
      <c r="B2" s="9">
        <v>33</v>
      </c>
      <c r="C2" s="9">
        <v>85</v>
      </c>
      <c r="D2" s="9" t="str">
        <f>IF(B2&gt;=50,"Pass","Fail")</f>
        <v>Fail</v>
      </c>
      <c r="E2" s="9" t="str">
        <f>IF(AND(B2&gt;=50,C2&gt;=75),"Good","Needs Improvement")</f>
        <v>Needs Improvement</v>
      </c>
      <c r="F2" s="9" t="str">
        <f>IF(OR(C2&gt;=75,B2&gt;=60),"GOOD","BAD")</f>
        <v>GOOD</v>
      </c>
      <c r="G2" s="9" t="str">
        <f>IF(B2&gt;=80,"A",IF(B2&gt;=70,"B",IF(B2&gt;=50,"C","E")))</f>
        <v>E</v>
      </c>
    </row>
    <row r="3" spans="1:9" x14ac:dyDescent="0.25">
      <c r="A3" s="9" t="s">
        <v>4</v>
      </c>
      <c r="B3" s="9">
        <v>44</v>
      </c>
      <c r="C3" s="9">
        <v>55</v>
      </c>
      <c r="D3" s="9" t="str">
        <f t="shared" ref="D3:D10" si="0">IF(B3&gt;=50,"Pass","Fail")</f>
        <v>Fail</v>
      </c>
      <c r="E3" s="9" t="str">
        <f t="shared" ref="E3:E10" si="1">IF(AND(B3&gt;=50,C3&gt;=75),"Good","Needs Improvement")</f>
        <v>Needs Improvement</v>
      </c>
      <c r="F3" s="9" t="str">
        <f t="shared" ref="F3:F10" si="2">IF(OR(C3&gt;=75,B3&gt;=60),"GOOD","BAD")</f>
        <v>BAD</v>
      </c>
      <c r="G3" s="9" t="str">
        <f t="shared" ref="G3:G10" si="3">IF(B3&gt;=80,"A",IF(B3&gt;=70,"B",IF(B3&gt;=50,"C","E")))</f>
        <v>E</v>
      </c>
    </row>
    <row r="4" spans="1:9" x14ac:dyDescent="0.25">
      <c r="A4" s="9" t="s">
        <v>5</v>
      </c>
      <c r="B4" s="9">
        <v>45</v>
      </c>
      <c r="C4" s="9">
        <v>49</v>
      </c>
      <c r="D4" s="9" t="str">
        <f t="shared" si="0"/>
        <v>Fail</v>
      </c>
      <c r="E4" s="9" t="str">
        <f t="shared" si="1"/>
        <v>Needs Improvement</v>
      </c>
      <c r="F4" s="9" t="str">
        <f t="shared" si="2"/>
        <v>BAD</v>
      </c>
      <c r="G4" s="9" t="str">
        <f t="shared" si="3"/>
        <v>E</v>
      </c>
    </row>
    <row r="5" spans="1:9" x14ac:dyDescent="0.25">
      <c r="A5" s="9" t="s">
        <v>6</v>
      </c>
      <c r="B5" s="9">
        <v>50</v>
      </c>
      <c r="C5" s="9">
        <v>54</v>
      </c>
      <c r="D5" s="9" t="str">
        <f t="shared" si="0"/>
        <v>Pass</v>
      </c>
      <c r="E5" s="9" t="str">
        <f t="shared" si="1"/>
        <v>Needs Improvement</v>
      </c>
      <c r="F5" s="9" t="str">
        <f t="shared" si="2"/>
        <v>BAD</v>
      </c>
      <c r="G5" s="9" t="str">
        <f t="shared" si="3"/>
        <v>C</v>
      </c>
    </row>
    <row r="6" spans="1:9" x14ac:dyDescent="0.25">
      <c r="A6" s="9" t="s">
        <v>7</v>
      </c>
      <c r="B6" s="9">
        <v>65</v>
      </c>
      <c r="C6" s="9">
        <v>66</v>
      </c>
      <c r="D6" s="9" t="str">
        <f t="shared" si="0"/>
        <v>Pass</v>
      </c>
      <c r="E6" s="9" t="str">
        <f t="shared" si="1"/>
        <v>Needs Improvement</v>
      </c>
      <c r="F6" s="9" t="str">
        <f t="shared" si="2"/>
        <v>GOOD</v>
      </c>
      <c r="G6" s="9" t="str">
        <f t="shared" si="3"/>
        <v>C</v>
      </c>
    </row>
    <row r="7" spans="1:9" x14ac:dyDescent="0.25">
      <c r="A7" s="9" t="s">
        <v>25</v>
      </c>
      <c r="B7" s="9">
        <v>65</v>
      </c>
      <c r="C7" s="9">
        <v>79</v>
      </c>
      <c r="D7" s="9" t="str">
        <f t="shared" si="0"/>
        <v>Pass</v>
      </c>
      <c r="E7" s="9" t="str">
        <f t="shared" si="1"/>
        <v>Good</v>
      </c>
      <c r="F7" s="9" t="str">
        <f t="shared" si="2"/>
        <v>GOOD</v>
      </c>
      <c r="G7" s="9" t="str">
        <f t="shared" si="3"/>
        <v>C</v>
      </c>
    </row>
    <row r="8" spans="1:9" x14ac:dyDescent="0.25">
      <c r="A8" s="9" t="s">
        <v>26</v>
      </c>
      <c r="B8" s="9">
        <v>70</v>
      </c>
      <c r="C8" s="9">
        <v>87</v>
      </c>
      <c r="D8" s="9" t="str">
        <f t="shared" si="0"/>
        <v>Pass</v>
      </c>
      <c r="E8" s="9" t="str">
        <f t="shared" si="1"/>
        <v>Good</v>
      </c>
      <c r="F8" s="9" t="str">
        <f t="shared" si="2"/>
        <v>GOOD</v>
      </c>
      <c r="G8" s="9" t="str">
        <f t="shared" si="3"/>
        <v>B</v>
      </c>
    </row>
    <row r="9" spans="1:9" x14ac:dyDescent="0.25">
      <c r="A9" s="9" t="s">
        <v>27</v>
      </c>
      <c r="B9" s="9">
        <v>77</v>
      </c>
      <c r="C9" s="9">
        <v>75</v>
      </c>
      <c r="D9" s="9" t="str">
        <f t="shared" si="0"/>
        <v>Pass</v>
      </c>
      <c r="E9" s="9" t="str">
        <f t="shared" si="1"/>
        <v>Good</v>
      </c>
      <c r="F9" s="9" t="str">
        <f t="shared" si="2"/>
        <v>GOOD</v>
      </c>
      <c r="G9" s="9" t="str">
        <f t="shared" si="3"/>
        <v>B</v>
      </c>
    </row>
    <row r="10" spans="1:9" x14ac:dyDescent="0.25">
      <c r="A10" s="9" t="s">
        <v>28</v>
      </c>
      <c r="B10" s="9">
        <v>80</v>
      </c>
      <c r="C10" s="9">
        <v>90</v>
      </c>
      <c r="D10" s="9" t="str">
        <f t="shared" si="0"/>
        <v>Pass</v>
      </c>
      <c r="E10" s="9" t="str">
        <f t="shared" si="1"/>
        <v>Good</v>
      </c>
      <c r="F10" s="9" t="str">
        <f t="shared" si="2"/>
        <v>GOOD</v>
      </c>
      <c r="G10" s="9" t="str">
        <f t="shared" si="3"/>
        <v>A</v>
      </c>
    </row>
    <row r="12" spans="1:9" x14ac:dyDescent="0.25">
      <c r="A12" s="1" t="s">
        <v>19</v>
      </c>
      <c r="B12">
        <f>SUM(B2:B10)</f>
        <v>529</v>
      </c>
    </row>
    <row r="13" spans="1:9" x14ac:dyDescent="0.25">
      <c r="A13" s="1" t="s">
        <v>33</v>
      </c>
      <c r="B13">
        <f>AVERAGE(B2:B10)</f>
        <v>58.777777777777779</v>
      </c>
    </row>
    <row r="14" spans="1:9" ht="28.5" x14ac:dyDescent="0.45">
      <c r="A14" s="1" t="s">
        <v>34</v>
      </c>
      <c r="B14">
        <f>ROUND(AVERAGE(B2:B10),0)</f>
        <v>59</v>
      </c>
      <c r="E14" s="7" t="s">
        <v>39</v>
      </c>
      <c r="F14" s="7"/>
      <c r="G14" s="7" t="s">
        <v>40</v>
      </c>
      <c r="H14" s="7"/>
      <c r="I14" s="7"/>
    </row>
    <row r="15" spans="1:9" x14ac:dyDescent="0.25">
      <c r="A15" s="1" t="s">
        <v>35</v>
      </c>
      <c r="B15">
        <f>COUNTA(A2:A10)</f>
        <v>9</v>
      </c>
      <c r="E15" s="9" t="s">
        <v>3</v>
      </c>
      <c r="F15" s="8" t="str">
        <f>VLOOKUP(E15,A2:D10,4,FALSE)</f>
        <v>Fail</v>
      </c>
      <c r="G15" s="9" t="s">
        <v>5</v>
      </c>
      <c r="H15" s="8" t="str">
        <f>HLOOKUP(G15,A22:J28,5,FALSE)</f>
        <v>Needs Improvement</v>
      </c>
      <c r="I15" s="8"/>
    </row>
    <row r="16" spans="1:9" x14ac:dyDescent="0.25">
      <c r="A16" s="1" t="s">
        <v>36</v>
      </c>
      <c r="B16">
        <f>MAX(B2:B10)</f>
        <v>80</v>
      </c>
      <c r="E16" s="9" t="s">
        <v>28</v>
      </c>
      <c r="F16" s="8" t="str">
        <f>VLOOKUP(E16,A3:D11,4,FALSE)</f>
        <v>Pass</v>
      </c>
      <c r="G16" s="9" t="s">
        <v>25</v>
      </c>
      <c r="H16" s="8" t="str">
        <f>HLOOKUP(G16,A22:J29,5,FALSE)</f>
        <v>Good</v>
      </c>
      <c r="I16" s="8"/>
    </row>
    <row r="17" spans="1:10" x14ac:dyDescent="0.25">
      <c r="A17" s="1" t="s">
        <v>37</v>
      </c>
      <c r="B17">
        <f>MIN(B2:B10)</f>
        <v>33</v>
      </c>
    </row>
    <row r="18" spans="1:10" x14ac:dyDescent="0.25">
      <c r="A18" s="1" t="s">
        <v>38</v>
      </c>
      <c r="B18">
        <f>LEN(E2)</f>
        <v>17</v>
      </c>
    </row>
    <row r="19" spans="1:10" x14ac:dyDescent="0.25">
      <c r="E19" t="s">
        <v>6</v>
      </c>
      <c r="F19">
        <f>VLOOKUP(E19,A2:B10,2,FALSE)</f>
        <v>50</v>
      </c>
    </row>
    <row r="22" spans="1:10" x14ac:dyDescent="0.25">
      <c r="A22" s="10" t="str">
        <f t="array" ref="A22:J28">TRANSPOSE(A1:G10)</f>
        <v>Name</v>
      </c>
      <c r="B22" s="10" t="str">
        <v>A</v>
      </c>
      <c r="C22" s="10" t="str">
        <v>B</v>
      </c>
      <c r="D22" s="10" t="str">
        <v>C</v>
      </c>
      <c r="E22" s="10" t="str">
        <v>D</v>
      </c>
      <c r="F22" s="10" t="str">
        <v>E</v>
      </c>
      <c r="G22" s="10" t="str">
        <v>F</v>
      </c>
      <c r="H22" s="10" t="str">
        <v>G</v>
      </c>
      <c r="I22" s="10" t="str">
        <v>H</v>
      </c>
      <c r="J22" s="10" t="str">
        <v>I</v>
      </c>
    </row>
    <row r="23" spans="1:10" x14ac:dyDescent="0.25">
      <c r="A23" s="9" t="str">
        <v>Marks</v>
      </c>
      <c r="B23" s="9">
        <v>33</v>
      </c>
      <c r="C23" s="9">
        <v>44</v>
      </c>
      <c r="D23" s="9">
        <v>45</v>
      </c>
      <c r="E23" s="9">
        <v>50</v>
      </c>
      <c r="F23" s="9">
        <v>65</v>
      </c>
      <c r="G23" s="9">
        <v>65</v>
      </c>
      <c r="H23" s="9">
        <v>70</v>
      </c>
      <c r="I23" s="9">
        <v>77</v>
      </c>
      <c r="J23" s="9">
        <v>80</v>
      </c>
    </row>
    <row r="24" spans="1:10" x14ac:dyDescent="0.25">
      <c r="A24" s="9" t="str">
        <v>Attendence</v>
      </c>
      <c r="B24" s="9">
        <v>85</v>
      </c>
      <c r="C24" s="9">
        <v>55</v>
      </c>
      <c r="D24" s="9">
        <v>49</v>
      </c>
      <c r="E24" s="9">
        <v>54</v>
      </c>
      <c r="F24" s="9">
        <v>66</v>
      </c>
      <c r="G24" s="9">
        <v>79</v>
      </c>
      <c r="H24" s="9">
        <v>87</v>
      </c>
      <c r="I24" s="9">
        <v>75</v>
      </c>
      <c r="J24" s="9">
        <v>90</v>
      </c>
    </row>
    <row r="25" spans="1:10" x14ac:dyDescent="0.25">
      <c r="A25" s="9" t="str">
        <v>Pass or Fail using IF</v>
      </c>
      <c r="B25" s="9" t="str">
        <v>Fail</v>
      </c>
      <c r="C25" s="9" t="str">
        <v>Fail</v>
      </c>
      <c r="D25" s="9" t="str">
        <v>Fail</v>
      </c>
      <c r="E25" s="9" t="str">
        <v>Pass</v>
      </c>
      <c r="F25" s="9" t="str">
        <v>Pass</v>
      </c>
      <c r="G25" s="9" t="str">
        <v>Pass</v>
      </c>
      <c r="H25" s="9" t="str">
        <v>Pass</v>
      </c>
      <c r="I25" s="9" t="str">
        <v>Pass</v>
      </c>
      <c r="J25" s="9" t="str">
        <v>Pass</v>
      </c>
    </row>
    <row r="26" spans="1:10" x14ac:dyDescent="0.25">
      <c r="A26" s="9" t="str">
        <v>Score Rating using AND</v>
      </c>
      <c r="B26" s="9" t="str">
        <v>Needs Improvement</v>
      </c>
      <c r="C26" s="9" t="str">
        <v>Needs Improvement</v>
      </c>
      <c r="D26" s="9" t="str">
        <v>Needs Improvement</v>
      </c>
      <c r="E26" s="9" t="str">
        <v>Needs Improvement</v>
      </c>
      <c r="F26" s="9" t="str">
        <v>Needs Improvement</v>
      </c>
      <c r="G26" s="9" t="str">
        <v>Good</v>
      </c>
      <c r="H26" s="9" t="str">
        <v>Good</v>
      </c>
      <c r="I26" s="9" t="str">
        <v>Good</v>
      </c>
      <c r="J26" s="9" t="str">
        <v>Good</v>
      </c>
    </row>
    <row r="27" spans="1:10" x14ac:dyDescent="0.25">
      <c r="A27" s="9" t="str">
        <v>Score rating using OR</v>
      </c>
      <c r="B27" s="9" t="str">
        <v>GOOD</v>
      </c>
      <c r="C27" s="9" t="str">
        <v>BAD</v>
      </c>
      <c r="D27" s="9" t="str">
        <v>BAD</v>
      </c>
      <c r="E27" s="9" t="str">
        <v>BAD</v>
      </c>
      <c r="F27" s="9" t="str">
        <v>GOOD</v>
      </c>
      <c r="G27" s="9" t="str">
        <v>GOOD</v>
      </c>
      <c r="H27" s="9" t="str">
        <v>GOOD</v>
      </c>
      <c r="I27" s="9" t="str">
        <v>GOOD</v>
      </c>
      <c r="J27" s="9" t="str">
        <v>GOOD</v>
      </c>
    </row>
    <row r="28" spans="1:10" x14ac:dyDescent="0.25">
      <c r="A28" s="9" t="str">
        <v>Grade using Nested IF</v>
      </c>
      <c r="B28" s="9" t="str">
        <v>E</v>
      </c>
      <c r="C28" s="9" t="str">
        <v>E</v>
      </c>
      <c r="D28" s="9" t="str">
        <v>E</v>
      </c>
      <c r="E28" s="9" t="str">
        <v>C</v>
      </c>
      <c r="F28" s="9" t="str">
        <v>C</v>
      </c>
      <c r="G28" s="9" t="str">
        <v>C</v>
      </c>
      <c r="H28" s="9" t="str">
        <v>B</v>
      </c>
      <c r="I28" s="9" t="str">
        <v>B</v>
      </c>
      <c r="J28" s="9" t="str">
        <v>A</v>
      </c>
    </row>
    <row r="32" spans="1:10" x14ac:dyDescent="0.25">
      <c r="A32" s="11"/>
    </row>
    <row r="33" spans="1:5" x14ac:dyDescent="0.25">
      <c r="A33" t="s">
        <v>42</v>
      </c>
      <c r="B33" t="s">
        <v>43</v>
      </c>
      <c r="C33" t="s">
        <v>44</v>
      </c>
      <c r="D33" t="s">
        <v>45</v>
      </c>
    </row>
    <row r="35" spans="1:5" ht="28.5" x14ac:dyDescent="0.45">
      <c r="E35" s="12" t="s">
        <v>52</v>
      </c>
    </row>
    <row r="36" spans="1:5" x14ac:dyDescent="0.25">
      <c r="A36" t="s">
        <v>46</v>
      </c>
      <c r="B36" t="s">
        <v>47</v>
      </c>
      <c r="C36" t="s">
        <v>48</v>
      </c>
      <c r="D36" t="s">
        <v>49</v>
      </c>
    </row>
    <row r="38" spans="1:5" x14ac:dyDescent="0.25">
      <c r="A38" t="s">
        <v>50</v>
      </c>
      <c r="B38" t="s">
        <v>41</v>
      </c>
      <c r="C38" t="s">
        <v>48</v>
      </c>
      <c r="D38" t="s">
        <v>51</v>
      </c>
    </row>
    <row r="41" spans="1:5" x14ac:dyDescent="0.25">
      <c r="A41" t="s">
        <v>57</v>
      </c>
      <c r="B41" t="s">
        <v>58</v>
      </c>
      <c r="C41" t="s">
        <v>59</v>
      </c>
      <c r="D41" t="s">
        <v>60</v>
      </c>
      <c r="E41" t="s">
        <v>61</v>
      </c>
    </row>
    <row r="42" spans="1:5" x14ac:dyDescent="0.25">
      <c r="A42" t="s">
        <v>53</v>
      </c>
      <c r="B42">
        <v>10</v>
      </c>
      <c r="C42">
        <v>88</v>
      </c>
      <c r="D42">
        <v>76</v>
      </c>
      <c r="E42">
        <v>88</v>
      </c>
    </row>
    <row r="43" spans="1:5" x14ac:dyDescent="0.25">
      <c r="A43" t="s">
        <v>54</v>
      </c>
      <c r="B43">
        <v>20</v>
      </c>
      <c r="C43">
        <v>54</v>
      </c>
      <c r="D43">
        <v>88</v>
      </c>
      <c r="E43">
        <v>66</v>
      </c>
    </row>
    <row r="44" spans="1:5" x14ac:dyDescent="0.25">
      <c r="A44" t="s">
        <v>55</v>
      </c>
      <c r="B44">
        <v>32</v>
      </c>
      <c r="C44">
        <v>88</v>
      </c>
      <c r="D44">
        <v>0</v>
      </c>
      <c r="E44">
        <v>55</v>
      </c>
    </row>
    <row r="45" spans="1:5" x14ac:dyDescent="0.25">
      <c r="A45" t="s">
        <v>56</v>
      </c>
      <c r="B45">
        <v>55</v>
      </c>
      <c r="C45">
        <v>99</v>
      </c>
      <c r="D45">
        <v>99</v>
      </c>
      <c r="E45">
        <v>33</v>
      </c>
    </row>
    <row r="46" spans="1:5" x14ac:dyDescent="0.25">
      <c r="B46">
        <v>77</v>
      </c>
      <c r="C46">
        <v>44</v>
      </c>
      <c r="D46">
        <v>66</v>
      </c>
      <c r="E46">
        <v>44</v>
      </c>
    </row>
  </sheetData>
  <sortState ref="B23:J23">
    <sortCondition ref="B2"/>
  </sortState>
  <mergeCells count="2">
    <mergeCell ref="E14:F14"/>
    <mergeCell ref="G14:I14"/>
  </mergeCells>
  <conditionalFormatting sqref="E2:E10">
    <cfRule type="containsText" dxfId="7" priority="4" operator="containsText" text="Good">
      <formula>NOT(ISERROR(SEARCH("Good",E2)))</formula>
    </cfRule>
    <cfRule type="containsText" dxfId="6" priority="5" operator="containsText" text="Needs Improvement">
      <formula>NOT(ISERROR(SEARCH("Needs Improvement",E2)))</formula>
    </cfRule>
    <cfRule type="cellIs" dxfId="5" priority="9" operator="equal">
      <formula>"Pass"</formula>
    </cfRule>
  </conditionalFormatting>
  <conditionalFormatting sqref="D2">
    <cfRule type="cellIs" priority="8" operator="equal">
      <formula>"Fail"</formula>
    </cfRule>
  </conditionalFormatting>
  <conditionalFormatting sqref="D2:D10">
    <cfRule type="containsText" dxfId="4" priority="1" operator="containsText" text="Fail">
      <formula>NOT(ISERROR(SEARCH("Fail",D2)))</formula>
    </cfRule>
    <cfRule type="containsText" dxfId="3" priority="2" operator="containsText" text="Pass">
      <formula>NOT(ISERROR(SEARCH("Pass",D2)))</formula>
    </cfRule>
    <cfRule type="containsText" dxfId="2" priority="6" operator="containsText" text="Fail">
      <formula>NOT(ISERROR(SEARCH("Fail",D2)))</formula>
    </cfRule>
    <cfRule type="containsText" dxfId="1" priority="7" operator="containsText" text="Pass">
      <formula>NOT(ISERROR(SEARCH("Pass",D2)))</formula>
    </cfRule>
  </conditionalFormatting>
  <conditionalFormatting sqref="E7:E10">
    <cfRule type="containsText" dxfId="0" priority="3" operator="containsText" text="Good">
      <formula>NOT(ISERROR(SEARCH("Good",E7)))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C661-AB49-459A-8F36-E6F8B0EC5697}">
  <dimension ref="A3:B12"/>
  <sheetViews>
    <sheetView tabSelected="1" workbookViewId="0">
      <selection activeCell="E7" sqref="E7"/>
    </sheetView>
  </sheetViews>
  <sheetFormatPr defaultRowHeight="15" x14ac:dyDescent="0.25"/>
  <cols>
    <col min="1" max="1" width="14" bestFit="1" customWidth="1"/>
    <col min="2" max="2" width="12.85546875" bestFit="1" customWidth="1"/>
    <col min="3" max="3" width="14.140625" bestFit="1" customWidth="1"/>
  </cols>
  <sheetData>
    <row r="3" spans="1:2" x14ac:dyDescent="0.25">
      <c r="A3" s="13" t="s">
        <v>70</v>
      </c>
      <c r="B3" t="s">
        <v>72</v>
      </c>
    </row>
    <row r="4" spans="1:2" x14ac:dyDescent="0.25">
      <c r="A4" s="14" t="s">
        <v>77</v>
      </c>
      <c r="B4" s="15">
        <v>270</v>
      </c>
    </row>
    <row r="5" spans="1:2" x14ac:dyDescent="0.25">
      <c r="A5" s="16" t="s">
        <v>3</v>
      </c>
      <c r="B5" s="15">
        <v>80</v>
      </c>
    </row>
    <row r="6" spans="1:2" x14ac:dyDescent="0.25">
      <c r="A6" s="17" t="s">
        <v>67</v>
      </c>
      <c r="B6" s="15">
        <v>80</v>
      </c>
    </row>
    <row r="7" spans="1:2" x14ac:dyDescent="0.25">
      <c r="A7" s="16" t="s">
        <v>4</v>
      </c>
      <c r="B7" s="15">
        <v>135</v>
      </c>
    </row>
    <row r="8" spans="1:2" x14ac:dyDescent="0.25">
      <c r="A8" s="17" t="s">
        <v>65</v>
      </c>
      <c r="B8" s="15">
        <v>65</v>
      </c>
    </row>
    <row r="9" spans="1:2" x14ac:dyDescent="0.25">
      <c r="A9" s="17" t="s">
        <v>75</v>
      </c>
      <c r="B9" s="15">
        <v>70</v>
      </c>
    </row>
    <row r="10" spans="1:2" x14ac:dyDescent="0.25">
      <c r="A10" s="16" t="s">
        <v>5</v>
      </c>
      <c r="B10" s="15">
        <v>55</v>
      </c>
    </row>
    <row r="11" spans="1:2" x14ac:dyDescent="0.25">
      <c r="A11" s="17" t="s">
        <v>74</v>
      </c>
      <c r="B11" s="15">
        <v>55</v>
      </c>
    </row>
    <row r="12" spans="1:2" x14ac:dyDescent="0.25">
      <c r="A12" s="14" t="s">
        <v>71</v>
      </c>
      <c r="B12" s="15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77BE0-5696-4AA4-9269-876573765841}">
  <sheetPr codeName="Sheet3"/>
  <dimension ref="A1:D7"/>
  <sheetViews>
    <sheetView workbookViewId="0">
      <selection sqref="A1:D7"/>
    </sheetView>
  </sheetViews>
  <sheetFormatPr defaultRowHeight="15" x14ac:dyDescent="0.25"/>
  <cols>
    <col min="1" max="1" width="7.85546875" bestFit="1" customWidth="1"/>
    <col min="2" max="2" width="7.5703125" bestFit="1" customWidth="1"/>
    <col min="3" max="3" width="6.28515625" bestFit="1" customWidth="1"/>
    <col min="4" max="4" width="6" bestFit="1" customWidth="1"/>
  </cols>
  <sheetData>
    <row r="1" spans="1:4" x14ac:dyDescent="0.25">
      <c r="A1" t="s">
        <v>62</v>
      </c>
      <c r="B1" t="s">
        <v>63</v>
      </c>
      <c r="C1" t="s">
        <v>64</v>
      </c>
      <c r="D1" t="s">
        <v>73</v>
      </c>
    </row>
    <row r="2" spans="1:4" x14ac:dyDescent="0.25">
      <c r="A2" t="s">
        <v>65</v>
      </c>
      <c r="B2" t="s">
        <v>68</v>
      </c>
      <c r="C2">
        <v>65</v>
      </c>
      <c r="D2" t="str">
        <f>IF(C2&gt;=80,"A",IF(C2&gt;=60,"B",IF(C2&gt;=50,"C","F")))</f>
        <v>B</v>
      </c>
    </row>
    <row r="3" spans="1:4" x14ac:dyDescent="0.25">
      <c r="A3" t="s">
        <v>74</v>
      </c>
      <c r="B3" t="s">
        <v>69</v>
      </c>
      <c r="C3">
        <v>55</v>
      </c>
      <c r="D3" t="str">
        <f t="shared" ref="D3:D7" si="0">IF(C3&gt;=80,"A",IF(C3&gt;=60,"B",IF(C3&gt;=50,"C","F")))</f>
        <v>C</v>
      </c>
    </row>
    <row r="4" spans="1:4" x14ac:dyDescent="0.25">
      <c r="A4" t="s">
        <v>66</v>
      </c>
      <c r="B4" t="s">
        <v>68</v>
      </c>
      <c r="C4">
        <v>45</v>
      </c>
      <c r="D4" t="str">
        <f t="shared" si="0"/>
        <v>F</v>
      </c>
    </row>
    <row r="5" spans="1:4" x14ac:dyDescent="0.25">
      <c r="A5" t="s">
        <v>75</v>
      </c>
      <c r="B5" t="s">
        <v>69</v>
      </c>
      <c r="C5">
        <v>70</v>
      </c>
      <c r="D5" t="str">
        <f t="shared" si="0"/>
        <v>B</v>
      </c>
    </row>
    <row r="6" spans="1:4" x14ac:dyDescent="0.25">
      <c r="A6" t="s">
        <v>67</v>
      </c>
      <c r="B6" t="s">
        <v>68</v>
      </c>
      <c r="C6">
        <v>80</v>
      </c>
      <c r="D6" t="str">
        <f t="shared" si="0"/>
        <v>A</v>
      </c>
    </row>
    <row r="7" spans="1:4" x14ac:dyDescent="0.25">
      <c r="A7" t="s">
        <v>76</v>
      </c>
      <c r="B7" t="s">
        <v>69</v>
      </c>
      <c r="C7">
        <v>40</v>
      </c>
      <c r="D7" t="str">
        <f t="shared" si="0"/>
        <v>F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</vt:lpstr>
      <vt:lpstr>Student1</vt:lpstr>
      <vt:lpstr>pivot table</vt:lpstr>
      <vt:lpstr>Student2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Jishnu K</dc:creator>
  <cp:lastModifiedBy>Jishnu K</cp:lastModifiedBy>
  <dcterms:created xsi:type="dcterms:W3CDTF">2026-01-25T07:53:42Z</dcterms:created>
  <dcterms:modified xsi:type="dcterms:W3CDTF">2026-01-26T16:48:21Z</dcterms:modified>
</cp:coreProperties>
</file>