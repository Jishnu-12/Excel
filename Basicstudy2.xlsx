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13_ncr:1_{67709E9E-29AE-476E-9D1F-FFE62CC435B1}" xr6:coauthVersionLast="36" xr6:coauthVersionMax="36" xr10:uidLastSave="{00000000-0000-0000-0000-000000000000}"/>
  <bookViews>
    <workbookView xWindow="0" yWindow="0" windowWidth="24000" windowHeight="9525" activeTab="1" xr2:uid="{EA113A04-A10A-40AA-8B08-92A35D53F25E}"/>
  </bookViews>
  <sheets>
    <sheet name="Student" sheetId="3" r:id="rId1"/>
    <sheet name="Student1" sheetId="2" r:id="rId2"/>
    <sheet name="Student2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2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B8" i="3"/>
  <c r="B9" i="3"/>
  <c r="E11" i="3" a="1"/>
  <c r="E11" i="3" s="1"/>
  <c r="F9" i="3"/>
  <c r="D14" i="3"/>
  <c r="D15" i="3"/>
  <c r="D16" i="3"/>
  <c r="D17" i="3"/>
  <c r="D13" i="3"/>
  <c r="C14" i="3"/>
  <c r="C15" i="3"/>
  <c r="C16" i="3"/>
  <c r="C17" i="3"/>
  <c r="C13" i="3"/>
  <c r="B14" i="3"/>
  <c r="B15" i="3"/>
  <c r="B16" i="3"/>
  <c r="B17" i="3"/>
  <c r="B13" i="3"/>
  <c r="A14" i="3"/>
  <c r="A15" i="3"/>
  <c r="A16" i="3"/>
  <c r="A17" i="3"/>
  <c r="A13" i="3"/>
  <c r="H3" i="3"/>
  <c r="H4" i="3"/>
  <c r="H5" i="3"/>
  <c r="H6" i="3"/>
  <c r="H2" i="3"/>
  <c r="G3" i="3"/>
  <c r="G4" i="3"/>
  <c r="G5" i="3"/>
  <c r="G6" i="3"/>
  <c r="G2" i="3"/>
  <c r="F3" i="3"/>
  <c r="F4" i="3"/>
  <c r="F5" i="3"/>
  <c r="F6" i="3"/>
  <c r="F2" i="3"/>
  <c r="E3" i="3"/>
  <c r="E4" i="3"/>
  <c r="E5" i="3"/>
  <c r="E6" i="3"/>
  <c r="E2" i="3"/>
  <c r="F12" i="3" l="1"/>
  <c r="F11" i="3"/>
  <c r="E12" i="3"/>
</calcChain>
</file>

<file path=xl/sharedStrings.xml><?xml version="1.0" encoding="utf-8"?>
<sst xmlns="http://schemas.openxmlformats.org/spreadsheetml/2006/main" count="52" uniqueCount="39">
  <si>
    <t>Name</t>
  </si>
  <si>
    <t>Subject</t>
  </si>
  <si>
    <t>Marks</t>
  </si>
  <si>
    <t>A</t>
  </si>
  <si>
    <t>B</t>
  </si>
  <si>
    <t>C</t>
  </si>
  <si>
    <t>D</t>
  </si>
  <si>
    <t>E</t>
  </si>
  <si>
    <t>Maths</t>
  </si>
  <si>
    <t>Attendence</t>
  </si>
  <si>
    <t>Pass/Fail</t>
  </si>
  <si>
    <t>Status using AND</t>
  </si>
  <si>
    <t>Status Using OR</t>
  </si>
  <si>
    <t>Grade Using Nested IF</t>
  </si>
  <si>
    <t>Using Len Function To Find Out Text Length of Text cells</t>
  </si>
  <si>
    <t>subject column</t>
  </si>
  <si>
    <t>pass or fail column</t>
  </si>
  <si>
    <t>Status AND</t>
  </si>
  <si>
    <t>Status OR</t>
  </si>
  <si>
    <t>Total Marks</t>
  </si>
  <si>
    <t>Total Attendence</t>
  </si>
  <si>
    <t>Avarage Marks</t>
  </si>
  <si>
    <t>Average Attendence</t>
  </si>
  <si>
    <t>56</t>
  </si>
  <si>
    <t>transposed column</t>
  </si>
  <si>
    <t>F</t>
  </si>
  <si>
    <t>G</t>
  </si>
  <si>
    <t>H</t>
  </si>
  <si>
    <t>I</t>
  </si>
  <si>
    <t>Pass or Fail using IF</t>
  </si>
  <si>
    <t>Score Rating using AND</t>
  </si>
  <si>
    <t>Score rating using OR</t>
  </si>
  <si>
    <t>Grade using Nested IF</t>
  </si>
  <si>
    <t>Average marks</t>
  </si>
  <si>
    <t>Average Round</t>
  </si>
  <si>
    <t>Student count</t>
  </si>
  <si>
    <t>Max mark</t>
  </si>
  <si>
    <t>Min Mark</t>
  </si>
  <si>
    <t xml:space="preserve">len of score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</si>
</sst>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wrapText="1"/>
    </xf>
    <xf numFmtId="0" fontId="1" fillId="3" borderId="1" xfId="2" applyBorder="1" applyAlignment="1">
      <alignment horizontal="center"/>
    </xf>
    <xf numFmtId="0" fontId="4" fillId="2" borderId="0" xfId="1" applyFont="1" applyAlignment="1">
      <alignment horizontal="center"/>
    </xf>
  </cellXfs>
  <cellStyles count="3">
    <cellStyle name="60% - Accent4" xfId="2" builtinId="44"/>
    <cellStyle name="Good" xfId="1" builtinId="26"/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4418B-9530-4002-9B8B-E1DD47D9E09C}" name="Table1" displayName="Table1" ref="E8:F9" totalsRowShown="0">
  <autoFilter ref="E8:F9" xr:uid="{6553AAC4-4037-41C3-A335-8555F38FFA95}"/>
  <tableColumns count="2">
    <tableColumn id="1" xr3:uid="{223CA23C-E9EC-4E30-BC54-AE1EFE576BBA}" name="Avarage Marks" dataDxfId="37"/>
    <tableColumn id="2" xr3:uid="{6F290A96-0F67-4656-BA7A-D609AD054E01}" name="56" dataDxfId="36">
      <calculatedColumnFormula>AVERAGE(D2:D6)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B93F-A698-4EE9-8F7D-7340BE907852}">
  <dimension ref="A1:H17"/>
  <sheetViews>
    <sheetView workbookViewId="0">
      <selection activeCell="E18" sqref="E18"/>
    </sheetView>
  </sheetViews>
  <sheetFormatPr defaultRowHeight="15" x14ac:dyDescent="0.25"/>
  <cols>
    <col min="1" max="1" width="17.140625" customWidth="1"/>
    <col min="2" max="2" width="18.28515625" customWidth="1"/>
    <col min="3" max="3" width="14.42578125" customWidth="1"/>
    <col min="4" max="4" width="16.85546875" customWidth="1"/>
    <col min="5" max="5" width="26.140625" customWidth="1"/>
    <col min="6" max="6" width="22" customWidth="1"/>
    <col min="7" max="7" width="29" customWidth="1"/>
    <col min="8" max="8" width="22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s="1" t="s">
        <v>3</v>
      </c>
      <c r="B2" s="1" t="s">
        <v>8</v>
      </c>
      <c r="C2" s="1">
        <v>65</v>
      </c>
      <c r="D2" s="1">
        <v>75</v>
      </c>
      <c r="E2" s="1" t="str">
        <f>IF(C2&gt;=50,"Pass","Fail")</f>
        <v>Pass</v>
      </c>
      <c r="F2" s="1" t="str">
        <f>IF(AND(C2&gt;=50,D2&gt;=75),"Good","Needs Improvement")</f>
        <v>Good</v>
      </c>
      <c r="G2" s="1" t="str">
        <f>IF(OR(C2&gt;=50,D2&gt;=75),"Good Marks or Attendence","Needs Improvement")</f>
        <v>Good Marks or Attendence</v>
      </c>
      <c r="H2" s="1" t="str">
        <f>IF(C2&gt;=70,"A",IF(C2&gt;=60,"B","C"))</f>
        <v>B</v>
      </c>
    </row>
    <row r="3" spans="1:8" x14ac:dyDescent="0.25">
      <c r="A3" s="1" t="s">
        <v>4</v>
      </c>
      <c r="B3" s="1" t="s">
        <v>8</v>
      </c>
      <c r="C3" s="1">
        <v>45</v>
      </c>
      <c r="D3" s="1">
        <v>66</v>
      </c>
      <c r="E3" s="1" t="str">
        <f t="shared" ref="E3:E6" si="0">IF(C3&gt;=50,"Pass","Fail")</f>
        <v>Fail</v>
      </c>
      <c r="F3" s="1" t="str">
        <f t="shared" ref="F3:F6" si="1">IF(AND(C3&gt;=50,D3&gt;=75),"Good","Needs Improvement")</f>
        <v>Needs Improvement</v>
      </c>
      <c r="G3" s="1" t="str">
        <f t="shared" ref="G3:G6" si="2">IF(OR(C3&gt;=50,D3&gt;=75),"Good Marks or Attendence","Needs Improvement")</f>
        <v>Needs Improvement</v>
      </c>
      <c r="H3" s="1" t="str">
        <f t="shared" ref="H3:H6" si="3">IF(C3&gt;=70,"A",IF(C3&gt;=60,"B","C"))</f>
        <v>C</v>
      </c>
    </row>
    <row r="4" spans="1:8" x14ac:dyDescent="0.25">
      <c r="A4" s="1" t="s">
        <v>5</v>
      </c>
      <c r="B4" s="1" t="s">
        <v>8</v>
      </c>
      <c r="C4" s="1">
        <v>80</v>
      </c>
      <c r="D4" s="1">
        <v>80</v>
      </c>
      <c r="E4" s="1" t="str">
        <f t="shared" si="0"/>
        <v>Pass</v>
      </c>
      <c r="F4" s="1" t="str">
        <f t="shared" si="1"/>
        <v>Good</v>
      </c>
      <c r="G4" s="1" t="str">
        <f t="shared" si="2"/>
        <v>Good Marks or Attendence</v>
      </c>
      <c r="H4" s="1" t="str">
        <f t="shared" si="3"/>
        <v>A</v>
      </c>
    </row>
    <row r="5" spans="1:8" x14ac:dyDescent="0.25">
      <c r="A5" s="1" t="s">
        <v>6</v>
      </c>
      <c r="B5" s="1" t="s">
        <v>8</v>
      </c>
      <c r="C5" s="1">
        <v>55</v>
      </c>
      <c r="D5" s="1">
        <v>65</v>
      </c>
      <c r="E5" s="1" t="str">
        <f t="shared" si="0"/>
        <v>Pass</v>
      </c>
      <c r="F5" s="1" t="str">
        <f t="shared" si="1"/>
        <v>Needs Improvement</v>
      </c>
      <c r="G5" s="1" t="str">
        <f t="shared" si="2"/>
        <v>Good Marks or Attendence</v>
      </c>
      <c r="H5" s="1" t="str">
        <f t="shared" si="3"/>
        <v>C</v>
      </c>
    </row>
    <row r="6" spans="1:8" x14ac:dyDescent="0.25">
      <c r="A6" s="1" t="s">
        <v>7</v>
      </c>
      <c r="B6" s="1" t="s">
        <v>8</v>
      </c>
      <c r="C6" s="1">
        <v>35</v>
      </c>
      <c r="D6" s="1">
        <v>75</v>
      </c>
      <c r="E6" s="1" t="str">
        <f t="shared" si="0"/>
        <v>Fail</v>
      </c>
      <c r="F6" s="1" t="str">
        <f t="shared" si="1"/>
        <v>Needs Improvement</v>
      </c>
      <c r="G6" s="1" t="str">
        <f t="shared" si="2"/>
        <v>Good Marks or Attendence</v>
      </c>
      <c r="H6" s="1" t="str">
        <f t="shared" si="3"/>
        <v>C</v>
      </c>
    </row>
    <row r="8" spans="1:8" x14ac:dyDescent="0.25">
      <c r="A8" s="2" t="s">
        <v>19</v>
      </c>
      <c r="B8">
        <f>SUM(C2:C6)</f>
        <v>280</v>
      </c>
      <c r="E8" s="2" t="s">
        <v>21</v>
      </c>
      <c r="F8" s="1" t="s">
        <v>23</v>
      </c>
      <c r="G8" s="1"/>
    </row>
    <row r="9" spans="1:8" x14ac:dyDescent="0.25">
      <c r="A9" s="2" t="s">
        <v>20</v>
      </c>
      <c r="B9">
        <f>SUM(D2:D6)</f>
        <v>361</v>
      </c>
      <c r="E9" s="2" t="s">
        <v>22</v>
      </c>
      <c r="F9" s="1">
        <f>AVERAGE(D2:D6)</f>
        <v>72.2</v>
      </c>
      <c r="G9" s="1"/>
    </row>
    <row r="10" spans="1:8" x14ac:dyDescent="0.25">
      <c r="A10" s="3"/>
      <c r="B10" s="3"/>
      <c r="C10" s="3"/>
      <c r="D10" s="3"/>
      <c r="E10" s="3"/>
      <c r="G10" s="1"/>
    </row>
    <row r="11" spans="1:8" x14ac:dyDescent="0.25">
      <c r="A11" s="3" t="s">
        <v>14</v>
      </c>
      <c r="E11" s="5" t="str">
        <f t="array" ref="E11:F12">TRANSPOSE(A8:B9)</f>
        <v>Total Marks</v>
      </c>
      <c r="F11" s="5" t="str">
        <v>Total Attendence</v>
      </c>
      <c r="G11" s="4"/>
    </row>
    <row r="12" spans="1:8" x14ac:dyDescent="0.25">
      <c r="A12" s="3" t="s">
        <v>15</v>
      </c>
      <c r="B12" s="3" t="s">
        <v>16</v>
      </c>
      <c r="C12" s="2" t="s">
        <v>17</v>
      </c>
      <c r="D12" s="2" t="s">
        <v>18</v>
      </c>
      <c r="E12" s="5">
        <v>280</v>
      </c>
      <c r="F12" s="5">
        <v>361</v>
      </c>
      <c r="G12" s="1"/>
    </row>
    <row r="13" spans="1:8" x14ac:dyDescent="0.25">
      <c r="A13" s="1">
        <f>LEN(B2)</f>
        <v>5</v>
      </c>
      <c r="B13" s="1">
        <f>LEN(E2)</f>
        <v>4</v>
      </c>
      <c r="C13" s="1">
        <f>LEN(F2)</f>
        <v>4</v>
      </c>
      <c r="D13" s="1">
        <f>LEN(G2)</f>
        <v>24</v>
      </c>
      <c r="E13" s="6" t="s">
        <v>24</v>
      </c>
      <c r="F13" s="6"/>
    </row>
    <row r="14" spans="1:8" x14ac:dyDescent="0.25">
      <c r="A14" s="1">
        <f t="shared" ref="A14:A17" si="4">LEN(B3)</f>
        <v>5</v>
      </c>
      <c r="B14" s="1">
        <f t="shared" ref="B14:B17" si="5">LEN(E3)</f>
        <v>4</v>
      </c>
      <c r="C14" s="1">
        <f t="shared" ref="C14:C17" si="6">LEN(F3)</f>
        <v>17</v>
      </c>
      <c r="D14" s="1">
        <f t="shared" ref="D14:D17" si="7">LEN(G3)</f>
        <v>17</v>
      </c>
    </row>
    <row r="15" spans="1:8" x14ac:dyDescent="0.25">
      <c r="A15" s="1">
        <f t="shared" si="4"/>
        <v>5</v>
      </c>
      <c r="B15" s="1">
        <f t="shared" si="5"/>
        <v>4</v>
      </c>
      <c r="C15" s="1">
        <f t="shared" si="6"/>
        <v>4</v>
      </c>
      <c r="D15" s="1">
        <f t="shared" si="7"/>
        <v>24</v>
      </c>
    </row>
    <row r="16" spans="1:8" x14ac:dyDescent="0.25">
      <c r="A16" s="1">
        <f t="shared" si="4"/>
        <v>5</v>
      </c>
      <c r="B16" s="1">
        <f t="shared" si="5"/>
        <v>4</v>
      </c>
      <c r="C16" s="1">
        <f t="shared" si="6"/>
        <v>17</v>
      </c>
      <c r="D16" s="1">
        <f t="shared" si="7"/>
        <v>24</v>
      </c>
    </row>
    <row r="17" spans="1:4" x14ac:dyDescent="0.25">
      <c r="A17" s="1">
        <f t="shared" si="4"/>
        <v>5</v>
      </c>
      <c r="B17" s="1">
        <f t="shared" si="5"/>
        <v>4</v>
      </c>
      <c r="C17" s="1">
        <f t="shared" si="6"/>
        <v>17</v>
      </c>
      <c r="D17" s="1">
        <f t="shared" si="7"/>
        <v>24</v>
      </c>
    </row>
  </sheetData>
  <mergeCells count="1">
    <mergeCell ref="E13:F1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3E85-3016-43A2-BB10-7F824A673E2C}">
  <dimension ref="A1:G18"/>
  <sheetViews>
    <sheetView tabSelected="1" workbookViewId="0">
      <selection activeCell="E20" sqref="E20"/>
    </sheetView>
  </sheetViews>
  <sheetFormatPr defaultRowHeight="15" x14ac:dyDescent="0.25"/>
  <cols>
    <col min="1" max="1" width="16.5703125" customWidth="1"/>
    <col min="2" max="2" width="11.42578125" customWidth="1"/>
    <col min="3" max="3" width="11.5703125" customWidth="1"/>
    <col min="4" max="4" width="24" customWidth="1"/>
    <col min="5" max="5" width="28" customWidth="1"/>
    <col min="6" max="6" width="27.140625" customWidth="1"/>
    <col min="7" max="7" width="27.42578125" customWidth="1"/>
  </cols>
  <sheetData>
    <row r="1" spans="1:7" x14ac:dyDescent="0.25">
      <c r="A1" s="2" t="s">
        <v>0</v>
      </c>
      <c r="B1" s="2" t="s">
        <v>2</v>
      </c>
      <c r="C1" s="2" t="s">
        <v>9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25">
      <c r="A2" s="1" t="s">
        <v>3</v>
      </c>
      <c r="B2" s="1">
        <v>45</v>
      </c>
      <c r="C2" s="1">
        <v>85</v>
      </c>
      <c r="D2" s="1" t="str">
        <f>IF(B2&gt;=50,"Pass","Fail")</f>
        <v>Fail</v>
      </c>
      <c r="E2" s="1" t="str">
        <f>IF(AND(B2&gt;=50,C2&gt;=75),"Good","Needs Improvement")</f>
        <v>Needs Improvement</v>
      </c>
      <c r="F2" s="1" t="str">
        <f>IF(OR(C2&gt;=75,B2&gt;=60),"GOOD","BAD")</f>
        <v>GOOD</v>
      </c>
      <c r="G2" s="1" t="str">
        <f>IF(B2&gt;=80,"A",IF(B2&gt;=70,"B",IF(B2&gt;=50,"C","E")))</f>
        <v>E</v>
      </c>
    </row>
    <row r="3" spans="1:7" x14ac:dyDescent="0.25">
      <c r="A3" s="1" t="s">
        <v>4</v>
      </c>
      <c r="B3" s="1">
        <v>50</v>
      </c>
      <c r="C3" s="1">
        <v>55</v>
      </c>
      <c r="D3" s="1" t="str">
        <f t="shared" ref="D3:D10" si="0">IF(B3&gt;=50,"Pass","Fail")</f>
        <v>Pass</v>
      </c>
      <c r="E3" s="1" t="str">
        <f t="shared" ref="E3:E10" si="1">IF(AND(B3&gt;=50,C3&gt;=75),"Good","Needs Improvement")</f>
        <v>Needs Improvement</v>
      </c>
      <c r="F3" s="1" t="str">
        <f t="shared" ref="F3:F10" si="2">IF(OR(C3&gt;=75,B3&gt;=60),"GOOD","BAD")</f>
        <v>BAD</v>
      </c>
      <c r="G3" s="1" t="str">
        <f t="shared" ref="G3:G10" si="3">IF(B3&gt;=80,"A",IF(B3&gt;=70,"B",IF(B3&gt;=50,"C","E")))</f>
        <v>C</v>
      </c>
    </row>
    <row r="4" spans="1:7" x14ac:dyDescent="0.25">
      <c r="A4" s="1" t="s">
        <v>5</v>
      </c>
      <c r="B4" s="1">
        <v>44</v>
      </c>
      <c r="C4" s="1">
        <v>49</v>
      </c>
      <c r="D4" s="1" t="str">
        <f t="shared" si="0"/>
        <v>Fail</v>
      </c>
      <c r="E4" s="1" t="str">
        <f t="shared" si="1"/>
        <v>Needs Improvement</v>
      </c>
      <c r="F4" s="1" t="str">
        <f t="shared" si="2"/>
        <v>BAD</v>
      </c>
      <c r="G4" s="1" t="str">
        <f t="shared" si="3"/>
        <v>E</v>
      </c>
    </row>
    <row r="5" spans="1:7" x14ac:dyDescent="0.25">
      <c r="A5" s="1" t="s">
        <v>6</v>
      </c>
      <c r="B5" s="1">
        <v>33</v>
      </c>
      <c r="C5" s="1">
        <v>54</v>
      </c>
      <c r="D5" s="1" t="str">
        <f t="shared" si="0"/>
        <v>Fail</v>
      </c>
      <c r="E5" s="1" t="str">
        <f t="shared" si="1"/>
        <v>Needs Improvement</v>
      </c>
      <c r="F5" s="1" t="str">
        <f t="shared" si="2"/>
        <v>BAD</v>
      </c>
      <c r="G5" s="1" t="str">
        <f t="shared" si="3"/>
        <v>E</v>
      </c>
    </row>
    <row r="6" spans="1:7" x14ac:dyDescent="0.25">
      <c r="A6" s="1" t="s">
        <v>7</v>
      </c>
      <c r="B6" s="1">
        <v>65</v>
      </c>
      <c r="C6" s="1">
        <v>66</v>
      </c>
      <c r="D6" s="1" t="str">
        <f t="shared" si="0"/>
        <v>Pass</v>
      </c>
      <c r="E6" s="1" t="str">
        <f t="shared" si="1"/>
        <v>Needs Improvement</v>
      </c>
      <c r="F6" s="1" t="str">
        <f t="shared" si="2"/>
        <v>GOOD</v>
      </c>
      <c r="G6" s="1" t="str">
        <f t="shared" si="3"/>
        <v>C</v>
      </c>
    </row>
    <row r="7" spans="1:7" x14ac:dyDescent="0.25">
      <c r="A7" s="1" t="s">
        <v>25</v>
      </c>
      <c r="B7" s="1">
        <v>70</v>
      </c>
      <c r="C7" s="1">
        <v>79</v>
      </c>
      <c r="D7" s="1" t="str">
        <f t="shared" si="0"/>
        <v>Pass</v>
      </c>
      <c r="E7" s="1" t="str">
        <f t="shared" si="1"/>
        <v>Good</v>
      </c>
      <c r="F7" s="1" t="str">
        <f t="shared" si="2"/>
        <v>GOOD</v>
      </c>
      <c r="G7" s="1" t="str">
        <f t="shared" si="3"/>
        <v>B</v>
      </c>
    </row>
    <row r="8" spans="1:7" x14ac:dyDescent="0.25">
      <c r="A8" s="1" t="s">
        <v>26</v>
      </c>
      <c r="B8" s="1">
        <v>80</v>
      </c>
      <c r="C8" s="1">
        <v>87</v>
      </c>
      <c r="D8" s="1" t="str">
        <f t="shared" si="0"/>
        <v>Pass</v>
      </c>
      <c r="E8" s="1" t="str">
        <f t="shared" si="1"/>
        <v>Good</v>
      </c>
      <c r="F8" s="1" t="str">
        <f t="shared" si="2"/>
        <v>GOOD</v>
      </c>
      <c r="G8" s="1" t="str">
        <f t="shared" si="3"/>
        <v>A</v>
      </c>
    </row>
    <row r="9" spans="1:7" x14ac:dyDescent="0.25">
      <c r="A9" s="1" t="s">
        <v>27</v>
      </c>
      <c r="B9" s="1">
        <v>65</v>
      </c>
      <c r="C9" s="1">
        <v>75</v>
      </c>
      <c r="D9" s="1" t="str">
        <f t="shared" si="0"/>
        <v>Pass</v>
      </c>
      <c r="E9" s="1" t="str">
        <f t="shared" si="1"/>
        <v>Good</v>
      </c>
      <c r="F9" s="1" t="str">
        <f t="shared" si="2"/>
        <v>GOOD</v>
      </c>
      <c r="G9" s="1" t="str">
        <f t="shared" si="3"/>
        <v>C</v>
      </c>
    </row>
    <row r="10" spans="1:7" x14ac:dyDescent="0.25">
      <c r="A10" s="1" t="s">
        <v>28</v>
      </c>
      <c r="B10" s="1">
        <v>77</v>
      </c>
      <c r="C10" s="1">
        <v>90</v>
      </c>
      <c r="D10" s="1" t="str">
        <f t="shared" si="0"/>
        <v>Pass</v>
      </c>
      <c r="E10" s="1" t="str">
        <f t="shared" si="1"/>
        <v>Good</v>
      </c>
      <c r="F10" s="1" t="str">
        <f t="shared" si="2"/>
        <v>GOOD</v>
      </c>
      <c r="G10" s="1" t="str">
        <f t="shared" si="3"/>
        <v>B</v>
      </c>
    </row>
    <row r="12" spans="1:7" x14ac:dyDescent="0.25">
      <c r="A12" s="1" t="s">
        <v>19</v>
      </c>
      <c r="B12">
        <f>SUM(B2:B10)</f>
        <v>529</v>
      </c>
    </row>
    <row r="13" spans="1:7" x14ac:dyDescent="0.25">
      <c r="A13" s="1" t="s">
        <v>33</v>
      </c>
      <c r="B13">
        <f>AVERAGE(B2:B10)</f>
        <v>58.777777777777779</v>
      </c>
    </row>
    <row r="14" spans="1:7" x14ac:dyDescent="0.25">
      <c r="A14" s="1" t="s">
        <v>34</v>
      </c>
      <c r="B14">
        <f>ROUND(AVERAGE(B2:B10),0)</f>
        <v>59</v>
      </c>
    </row>
    <row r="15" spans="1:7" x14ac:dyDescent="0.25">
      <c r="A15" s="1" t="s">
        <v>35</v>
      </c>
      <c r="B15">
        <f>COUNTA(A2:A10)</f>
        <v>9</v>
      </c>
    </row>
    <row r="16" spans="1:7" x14ac:dyDescent="0.25">
      <c r="A16" s="1" t="s">
        <v>36</v>
      </c>
      <c r="B16">
        <f>MAX(B2:B10)</f>
        <v>80</v>
      </c>
    </row>
    <row r="17" spans="1:2" x14ac:dyDescent="0.25">
      <c r="A17" s="1" t="s">
        <v>37</v>
      </c>
      <c r="B17">
        <f>MIN(B2:B10)</f>
        <v>33</v>
      </c>
    </row>
    <row r="18" spans="1:2" x14ac:dyDescent="0.25">
      <c r="A18" s="1" t="s">
        <v>38</v>
      </c>
      <c r="B18">
        <f>LEN(E2)</f>
        <v>17</v>
      </c>
    </row>
  </sheetData>
  <conditionalFormatting sqref="E2:E10">
    <cfRule type="cellIs" dxfId="14" priority="9" operator="equal">
      <formula>"Pass"</formula>
    </cfRule>
    <cfRule type="containsText" dxfId="13" priority="5" operator="containsText" text="Needs Improvement">
      <formula>NOT(ISERROR(SEARCH("Needs Improvement",E2)))</formula>
    </cfRule>
    <cfRule type="containsText" dxfId="12" priority="4" operator="containsText" text="Good">
      <formula>NOT(ISERROR(SEARCH("Good",E2)))</formula>
    </cfRule>
  </conditionalFormatting>
  <conditionalFormatting sqref="D2">
    <cfRule type="cellIs" priority="8" operator="equal">
      <formula>"Fail"</formula>
    </cfRule>
  </conditionalFormatting>
  <conditionalFormatting sqref="D2:D10">
    <cfRule type="containsText" dxfId="0" priority="7" operator="containsText" text="Pass">
      <formula>NOT(ISERROR(SEARCH("Pass",D2)))</formula>
    </cfRule>
    <cfRule type="containsText" dxfId="1" priority="6" operator="containsText" text="Fail">
      <formula>NOT(ISERROR(SEARCH("Fail",D2)))</formula>
    </cfRule>
    <cfRule type="containsText" dxfId="2" priority="2" operator="containsText" text="Pass">
      <formula>NOT(ISERROR(SEARCH("Pass",D2)))</formula>
    </cfRule>
    <cfRule type="containsText" dxfId="3" priority="1" operator="containsText" text="Fail">
      <formula>NOT(ISERROR(SEARCH("Fail",D2)))</formula>
    </cfRule>
  </conditionalFormatting>
  <conditionalFormatting sqref="E7:E10">
    <cfRule type="containsText" dxfId="11" priority="3" operator="containsText" text="Good">
      <formula>NOT(ISERROR(SEARCH("Good",E7)))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7BE0-5696-4AA4-9269-8765737658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Student1</vt:lpstr>
      <vt:lpstr>Student2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K</dc:creator>
  <cp:lastModifiedBy>Jishnu K</cp:lastModifiedBy>
  <dcterms:created xsi:type="dcterms:W3CDTF">2026-01-25T07:53:42Z</dcterms:created>
  <dcterms:modified xsi:type="dcterms:W3CDTF">2026-01-25T19:55:10Z</dcterms:modified>
</cp:coreProperties>
</file>